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66925"/>
  <xr:revisionPtr revIDLastSave="0" documentId="13_ncr:1_{717D752B-1F51-46E2-B62C-544218493109}" xr6:coauthVersionLast="47" xr6:coauthVersionMax="47" xr10:uidLastSave="{00000000-0000-0000-0000-000000000000}"/>
  <bookViews>
    <workbookView xWindow="-25470" yWindow="1275" windowWidth="21690" windowHeight="13755" xr2:uid="{00000000-000D-0000-FFFF-FFFF00000000}"/>
  </bookViews>
  <sheets>
    <sheet name="SAM_1" sheetId="1" r:id="rId1"/>
    <sheet name="SAM_2" sheetId="2" r:id="rId2"/>
    <sheet name="SAM_3" sheetId="4" r:id="rId3"/>
    <sheet name="SAM_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4" l="1"/>
  <c r="O24" i="5" a="1"/>
  <c r="P24" i="5" s="1"/>
  <c r="W22" i="5"/>
  <c r="X22" i="5"/>
  <c r="Y22" i="5"/>
  <c r="AF13" i="5"/>
  <c r="AF14" i="5"/>
  <c r="AF12" i="5"/>
  <c r="AB14" i="5"/>
  <c r="AA13" i="5"/>
  <c r="Z12" i="5"/>
  <c r="AG12" i="5" s="1"/>
  <c r="Y6" i="5"/>
  <c r="X5" i="5"/>
  <c r="W4" i="5"/>
  <c r="Q22" i="5"/>
  <c r="V22" i="5"/>
  <c r="T22" i="5"/>
  <c r="S22" i="5"/>
  <c r="O22" i="5"/>
  <c r="AB21" i="5"/>
  <c r="AA21" i="5"/>
  <c r="Z21" i="5"/>
  <c r="AC20" i="5"/>
  <c r="AG20" i="5" s="1"/>
  <c r="V19" i="5"/>
  <c r="U19" i="5"/>
  <c r="U22" i="5" s="1"/>
  <c r="T19" i="5"/>
  <c r="AG19" i="5" s="1"/>
  <c r="S18" i="5"/>
  <c r="R18" i="5"/>
  <c r="AG18" i="5" s="1"/>
  <c r="C15" i="5"/>
  <c r="AC21" i="5" s="1"/>
  <c r="AE17" i="5"/>
  <c r="AD17" i="5"/>
  <c r="AC17" i="5"/>
  <c r="Q17" i="5"/>
  <c r="P17" i="5"/>
  <c r="O17" i="5"/>
  <c r="AG17" i="5" s="1"/>
  <c r="AE16" i="5"/>
  <c r="AD16" i="5"/>
  <c r="AC16" i="5"/>
  <c r="Q16" i="5"/>
  <c r="P16" i="5"/>
  <c r="O16" i="5"/>
  <c r="C13" i="5"/>
  <c r="AE15" i="5"/>
  <c r="AD15" i="5"/>
  <c r="AC15" i="5"/>
  <c r="Q15" i="5"/>
  <c r="P15" i="5"/>
  <c r="O15" i="5"/>
  <c r="C12" i="5"/>
  <c r="AB11" i="5"/>
  <c r="AA11" i="5"/>
  <c r="Z11" i="5"/>
  <c r="AG11" i="5" s="1"/>
  <c r="AC10" i="5"/>
  <c r="AG10" i="5" s="1"/>
  <c r="E10" i="5"/>
  <c r="D10" i="5"/>
  <c r="C10" i="5"/>
  <c r="Q9" i="5"/>
  <c r="P9" i="5"/>
  <c r="O9" i="5"/>
  <c r="AG9" i="5" s="1"/>
  <c r="Q8" i="5"/>
  <c r="P8" i="5"/>
  <c r="O8" i="5"/>
  <c r="Q7" i="5"/>
  <c r="P7" i="5"/>
  <c r="O7" i="5"/>
  <c r="L6" i="5"/>
  <c r="L5" i="5"/>
  <c r="L4" i="5"/>
  <c r="AE24" i="5" l="1"/>
  <c r="AC24" i="5"/>
  <c r="AF24" i="5"/>
  <c r="O24" i="5"/>
  <c r="AD24" i="5"/>
  <c r="AB24" i="5"/>
  <c r="AA24" i="5"/>
  <c r="Z24" i="5"/>
  <c r="Y24" i="5"/>
  <c r="Y25" i="5" s="1"/>
  <c r="X24" i="5"/>
  <c r="X25" i="5" s="1"/>
  <c r="W24" i="5"/>
  <c r="W25" i="5" s="1"/>
  <c r="V24" i="5"/>
  <c r="U24" i="5"/>
  <c r="T24" i="5"/>
  <c r="S24" i="5"/>
  <c r="R24" i="5"/>
  <c r="Q24" i="5"/>
  <c r="AG13" i="5"/>
  <c r="AG14" i="5"/>
  <c r="AG4" i="5"/>
  <c r="P22" i="5"/>
  <c r="AA22" i="5"/>
  <c r="AB22" i="5"/>
  <c r="R22" i="5"/>
  <c r="AD22" i="5"/>
  <c r="AE22" i="5"/>
  <c r="AF22" i="5"/>
  <c r="AG16" i="5"/>
  <c r="AG7" i="5"/>
  <c r="AG8" i="5"/>
  <c r="AG21" i="5"/>
  <c r="AC22" i="5"/>
  <c r="AG15" i="5"/>
  <c r="AG5" i="5"/>
  <c r="Z22" i="5"/>
  <c r="AG6" i="5"/>
  <c r="AE25" i="5" l="1"/>
  <c r="AD25" i="5"/>
  <c r="AB25" i="5"/>
  <c r="AA25" i="5"/>
  <c r="V25" i="5"/>
  <c r="U25" i="5"/>
  <c r="T25" i="5"/>
  <c r="R25" i="5"/>
  <c r="Q25" i="5"/>
  <c r="P25" i="5"/>
  <c r="O25" i="5"/>
  <c r="AF25" i="5"/>
  <c r="Z25" i="5"/>
  <c r="S25" i="5"/>
  <c r="AC25" i="5"/>
  <c r="P12" i="4"/>
  <c r="Q12" i="4"/>
  <c r="P13" i="4"/>
  <c r="Q13" i="4"/>
  <c r="P14" i="4"/>
  <c r="Q14" i="4"/>
  <c r="O13" i="4"/>
  <c r="O14" i="4"/>
  <c r="O12" i="4"/>
  <c r="Z13" i="4"/>
  <c r="AA13" i="4"/>
  <c r="AB13" i="4"/>
  <c r="AB19" i="4" s="1"/>
  <c r="AC13" i="4"/>
  <c r="Z14" i="4"/>
  <c r="AA14" i="4"/>
  <c r="AB14" i="4"/>
  <c r="AC14" i="4"/>
  <c r="AC12" i="4"/>
  <c r="AD12" i="4" s="1"/>
  <c r="AB12" i="4"/>
  <c r="AA12" i="4"/>
  <c r="Z12" i="4"/>
  <c r="Y11" i="4"/>
  <c r="X11" i="4"/>
  <c r="W11" i="4"/>
  <c r="AD11" i="4" s="1"/>
  <c r="Y18" i="4"/>
  <c r="X18" i="4"/>
  <c r="W18" i="4"/>
  <c r="AC19" i="4" l="1"/>
  <c r="AD14" i="4"/>
  <c r="AD13" i="4"/>
  <c r="AA19" i="4"/>
  <c r="M9" i="1" l="1"/>
  <c r="C13" i="4" l="1"/>
  <c r="C12" i="4"/>
  <c r="S12" i="2"/>
  <c r="R12" i="2"/>
  <c r="T13" i="2"/>
  <c r="T10" i="2"/>
  <c r="U5" i="2"/>
  <c r="V5" i="2"/>
  <c r="U6" i="2"/>
  <c r="V6" i="2"/>
  <c r="V4" i="2"/>
  <c r="U4" i="2"/>
  <c r="T5" i="2"/>
  <c r="T6" i="2"/>
  <c r="T4" i="2"/>
  <c r="Q11" i="2"/>
  <c r="P11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  <c r="O4" i="2"/>
  <c r="N4" i="2"/>
  <c r="M4" i="2"/>
  <c r="C13" i="2"/>
  <c r="C12" i="2"/>
  <c r="N9" i="1"/>
  <c r="O5" i="1"/>
  <c r="O6" i="1"/>
  <c r="O4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C12" i="1"/>
  <c r="C11" i="1"/>
  <c r="V16" i="4"/>
  <c r="V19" i="4" s="1"/>
  <c r="U16" i="4"/>
  <c r="U19" i="4" s="1"/>
  <c r="T16" i="4"/>
  <c r="Z10" i="4"/>
  <c r="C15" i="4"/>
  <c r="Z18" i="4" s="1"/>
  <c r="AD18" i="4" s="1"/>
  <c r="Z17" i="4"/>
  <c r="AD17" i="4" s="1"/>
  <c r="S15" i="4"/>
  <c r="S19" i="4" s="1"/>
  <c r="R15" i="4"/>
  <c r="Q9" i="4"/>
  <c r="P9" i="4"/>
  <c r="O9" i="4"/>
  <c r="AD9" i="4" s="1"/>
  <c r="Q8" i="4"/>
  <c r="P8" i="4"/>
  <c r="O8" i="4"/>
  <c r="AD8" i="4" s="1"/>
  <c r="Q7" i="4"/>
  <c r="P7" i="4"/>
  <c r="O7" i="4"/>
  <c r="AD10" i="4" l="1"/>
  <c r="Z19" i="4"/>
  <c r="AD16" i="4"/>
  <c r="T19" i="4"/>
  <c r="AD7" i="4"/>
  <c r="O19" i="4"/>
  <c r="P19" i="4"/>
  <c r="R19" i="4"/>
  <c r="AD15" i="4"/>
  <c r="Q19" i="4"/>
  <c r="L6" i="4"/>
  <c r="L5" i="4"/>
  <c r="L4" i="4"/>
  <c r="E10" i="4"/>
  <c r="Y6" i="4" s="1"/>
  <c r="D10" i="4"/>
  <c r="X5" i="4" s="1"/>
  <c r="C10" i="4"/>
  <c r="W10" i="2"/>
  <c r="R14" i="2"/>
  <c r="S14" i="2"/>
  <c r="W4" i="2"/>
  <c r="P14" i="2"/>
  <c r="M14" i="2"/>
  <c r="W5" i="2"/>
  <c r="W6" i="2"/>
  <c r="W7" i="2"/>
  <c r="W8" i="2"/>
  <c r="W9" i="2"/>
  <c r="W11" i="2"/>
  <c r="W12" i="2"/>
  <c r="W13" i="2"/>
  <c r="N14" i="2"/>
  <c r="O14" i="2"/>
  <c r="Q14" i="2"/>
  <c r="T14" i="2"/>
  <c r="U14" i="2"/>
  <c r="V14" i="2"/>
  <c r="I5" i="2"/>
  <c r="I6" i="2"/>
  <c r="I4" i="2"/>
  <c r="D10" i="2"/>
  <c r="E10" i="2"/>
  <c r="C10" i="2"/>
  <c r="W19" i="4" l="1"/>
  <c r="AD4" i="4"/>
  <c r="Y19" i="4"/>
  <c r="AD6" i="4"/>
  <c r="X19" i="4"/>
  <c r="AD5" i="4"/>
  <c r="M16" i="2" a="1"/>
  <c r="M16" i="2" s="1"/>
  <c r="M17" i="2" s="1"/>
  <c r="G5" i="1"/>
  <c r="G6" i="1"/>
  <c r="G4" i="1"/>
  <c r="D9" i="1"/>
  <c r="E9" i="1"/>
  <c r="C9" i="1"/>
  <c r="O21" i="4" l="1" a="1"/>
  <c r="Q16" i="2"/>
  <c r="Q17" i="2" s="1"/>
  <c r="T16" i="2"/>
  <c r="T17" i="2" s="1"/>
  <c r="P16" i="2"/>
  <c r="P17" i="2" s="1"/>
  <c r="O16" i="2"/>
  <c r="O17" i="2" s="1"/>
  <c r="V16" i="2"/>
  <c r="V17" i="2" s="1"/>
  <c r="R16" i="2"/>
  <c r="R17" i="2" s="1"/>
  <c r="S16" i="2"/>
  <c r="S17" i="2" s="1"/>
  <c r="U16" i="2"/>
  <c r="U17" i="2" s="1"/>
  <c r="N16" i="2"/>
  <c r="N17" i="2" s="1"/>
  <c r="P5" i="1"/>
  <c r="P6" i="1"/>
  <c r="P7" i="1"/>
  <c r="P8" i="1"/>
  <c r="P9" i="1"/>
  <c r="P4" i="1"/>
  <c r="K10" i="1"/>
  <c r="L10" i="1"/>
  <c r="M10" i="1"/>
  <c r="N10" i="1"/>
  <c r="O10" i="1"/>
  <c r="J10" i="1"/>
  <c r="P21" i="4" l="1"/>
  <c r="P22" i="4" s="1"/>
  <c r="R21" i="4"/>
  <c r="R22" i="4" s="1"/>
  <c r="X21" i="4"/>
  <c r="X22" i="4" s="1"/>
  <c r="AB21" i="4"/>
  <c r="AB22" i="4" s="1"/>
  <c r="O21" i="4"/>
  <c r="O22" i="4" s="1"/>
  <c r="Q21" i="4"/>
  <c r="Q22" i="4" s="1"/>
  <c r="W21" i="4"/>
  <c r="W22" i="4" s="1"/>
  <c r="U21" i="4"/>
  <c r="U22" i="4" s="1"/>
  <c r="Y21" i="4"/>
  <c r="Y22" i="4" s="1"/>
  <c r="AA21" i="4"/>
  <c r="AA22" i="4" s="1"/>
  <c r="T21" i="4"/>
  <c r="T22" i="4" s="1"/>
  <c r="Z21" i="4"/>
  <c r="Z22" i="4" s="1"/>
  <c r="S21" i="4"/>
  <c r="S22" i="4" s="1"/>
  <c r="AC21" i="4"/>
  <c r="AC22" i="4" s="1"/>
  <c r="V21" i="4"/>
  <c r="V22" i="4" s="1"/>
  <c r="J12" i="1" a="1"/>
  <c r="J12" i="1" l="1"/>
  <c r="J13" i="1" s="1"/>
  <c r="O12" i="1"/>
  <c r="O13" i="1" s="1"/>
  <c r="N12" i="1"/>
  <c r="N13" i="1" s="1"/>
  <c r="L12" i="1"/>
  <c r="L13" i="1" s="1"/>
  <c r="K12" i="1"/>
  <c r="K13" i="1" s="1"/>
  <c r="M12" i="1"/>
  <c r="M13" i="1" s="1"/>
</calcChain>
</file>

<file path=xl/sharedStrings.xml><?xml version="1.0" encoding="utf-8"?>
<sst xmlns="http://schemas.openxmlformats.org/spreadsheetml/2006/main" count="194" uniqueCount="44">
  <si>
    <t>Check</t>
    <phoneticPr fontId="1"/>
  </si>
  <si>
    <t>Check</t>
    <phoneticPr fontId="1"/>
  </si>
  <si>
    <t>Check</t>
    <phoneticPr fontId="1"/>
  </si>
  <si>
    <t>消費</t>
    <rPh sb="0" eb="2">
      <t>ショウヒ</t>
    </rPh>
    <phoneticPr fontId="1"/>
  </si>
  <si>
    <t>IO1</t>
    <phoneticPr fontId="1"/>
  </si>
  <si>
    <t>SAM1</t>
    <phoneticPr fontId="1"/>
  </si>
  <si>
    <t>IO2</t>
    <phoneticPr fontId="1"/>
  </si>
  <si>
    <t>SAM2</t>
    <phoneticPr fontId="1"/>
  </si>
  <si>
    <t>IO3</t>
    <phoneticPr fontId="1"/>
  </si>
  <si>
    <t>SAM3</t>
    <phoneticPr fontId="1"/>
  </si>
  <si>
    <t>政府消費</t>
    <rPh sb="0" eb="2">
      <t>セイフ</t>
    </rPh>
    <rPh sb="2" eb="4">
      <t>ショウヒ</t>
    </rPh>
    <phoneticPr fontId="1"/>
  </si>
  <si>
    <t>農業</t>
    <rPh sb="0" eb="2">
      <t>ノウギョウ</t>
    </rPh>
    <phoneticPr fontId="1"/>
  </si>
  <si>
    <t>製造業</t>
    <rPh sb="0" eb="3">
      <t>セイゾウギョウ</t>
    </rPh>
    <phoneticPr fontId="1"/>
  </si>
  <si>
    <t>サービス</t>
    <phoneticPr fontId="1"/>
  </si>
  <si>
    <t>行和</t>
    <rPh sb="0" eb="1">
      <t>ギョウ</t>
    </rPh>
    <rPh sb="1" eb="2">
      <t>ワ</t>
    </rPh>
    <phoneticPr fontId="1"/>
  </si>
  <si>
    <t>労働</t>
    <rPh sb="0" eb="2">
      <t>ロウドウ</t>
    </rPh>
    <phoneticPr fontId="1"/>
  </si>
  <si>
    <t>資本</t>
    <rPh sb="0" eb="2">
      <t>シホン</t>
    </rPh>
    <phoneticPr fontId="1"/>
  </si>
  <si>
    <t>家計</t>
    <rPh sb="0" eb="2">
      <t>カケイ</t>
    </rPh>
    <phoneticPr fontId="1"/>
  </si>
  <si>
    <t>列和</t>
    <rPh sb="0" eb="1">
      <t>レツ</t>
    </rPh>
    <rPh sb="1" eb="2">
      <t>ワ</t>
    </rPh>
    <phoneticPr fontId="1"/>
  </si>
  <si>
    <t>付加価値</t>
    <rPh sb="0" eb="2">
      <t>フカ</t>
    </rPh>
    <rPh sb="2" eb="4">
      <t>カチ</t>
    </rPh>
    <phoneticPr fontId="1"/>
  </si>
  <si>
    <t>最終需要</t>
    <rPh sb="0" eb="2">
      <t>サイシュウ</t>
    </rPh>
    <rPh sb="2" eb="4">
      <t>ジュヨウ</t>
    </rPh>
    <phoneticPr fontId="1"/>
  </si>
  <si>
    <t>投資</t>
    <rPh sb="0" eb="2">
      <t>トウシ</t>
    </rPh>
    <phoneticPr fontId="1"/>
  </si>
  <si>
    <t>純間接税</t>
    <rPh sb="0" eb="1">
      <t>ジュン</t>
    </rPh>
    <rPh sb="1" eb="4">
      <t>カンセツゼイ</t>
    </rPh>
    <phoneticPr fontId="1"/>
  </si>
  <si>
    <t>所得税</t>
    <rPh sb="0" eb="3">
      <t>ショトクゼイ</t>
    </rPh>
    <phoneticPr fontId="1"/>
  </si>
  <si>
    <t>政府</t>
    <rPh sb="0" eb="2">
      <t>セイフ</t>
    </rPh>
    <phoneticPr fontId="1"/>
  </si>
  <si>
    <t>輸出</t>
    <rPh sb="0" eb="2">
      <t>ユシュツ</t>
    </rPh>
    <phoneticPr fontId="1"/>
  </si>
  <si>
    <t>輸入</t>
    <rPh sb="0" eb="2">
      <t>ユニュウ</t>
    </rPh>
    <phoneticPr fontId="1"/>
  </si>
  <si>
    <t>関税</t>
    <rPh sb="0" eb="2">
      <t>カンゼイ</t>
    </rPh>
    <phoneticPr fontId="1"/>
  </si>
  <si>
    <t>合計</t>
    <rPh sb="0" eb="2">
      <t>ゴウケイ</t>
    </rPh>
    <phoneticPr fontId="1"/>
  </si>
  <si>
    <t>農業（部門）</t>
    <rPh sb="0" eb="2">
      <t>ノウギョウ</t>
    </rPh>
    <rPh sb="3" eb="5">
      <t>ブモン</t>
    </rPh>
    <phoneticPr fontId="1"/>
  </si>
  <si>
    <t>製造業（部門）</t>
    <rPh sb="0" eb="3">
      <t>セイゾウギョウ</t>
    </rPh>
    <rPh sb="4" eb="6">
      <t>ブモン</t>
    </rPh>
    <phoneticPr fontId="1"/>
  </si>
  <si>
    <t>サービス（部門）</t>
    <rPh sb="5" eb="7">
      <t>ブモン</t>
    </rPh>
    <phoneticPr fontId="1"/>
  </si>
  <si>
    <t>農業（財）</t>
    <rPh sb="0" eb="2">
      <t>ノウギョウ</t>
    </rPh>
    <rPh sb="3" eb="4">
      <t>ザイ</t>
    </rPh>
    <phoneticPr fontId="1"/>
  </si>
  <si>
    <t>製造業（財）</t>
    <rPh sb="0" eb="3">
      <t>セイゾウギョウ</t>
    </rPh>
    <rPh sb="4" eb="5">
      <t>ザイ</t>
    </rPh>
    <phoneticPr fontId="1"/>
  </si>
  <si>
    <t>サービス（財）</t>
    <rPh sb="5" eb="6">
      <t>ザイ</t>
    </rPh>
    <phoneticPr fontId="1"/>
  </si>
  <si>
    <t>海外</t>
    <rPh sb="0" eb="2">
      <t>カイガイ</t>
    </rPh>
    <phoneticPr fontId="1"/>
  </si>
  <si>
    <t>貿易収支</t>
    <rPh sb="0" eb="2">
      <t>ボウエキ</t>
    </rPh>
    <rPh sb="2" eb="4">
      <t>シュウシ</t>
    </rPh>
    <phoneticPr fontId="1"/>
  </si>
  <si>
    <t>農業（財）A</t>
    <rPh sb="0" eb="2">
      <t>ノウギョウ</t>
    </rPh>
    <rPh sb="3" eb="4">
      <t>ザイ</t>
    </rPh>
    <phoneticPr fontId="1"/>
  </si>
  <si>
    <t>製造業（財）A</t>
    <rPh sb="0" eb="3">
      <t>セイゾウギョウ</t>
    </rPh>
    <rPh sb="4" eb="5">
      <t>ザイ</t>
    </rPh>
    <phoneticPr fontId="1"/>
  </si>
  <si>
    <t>サービス（財）A</t>
    <rPh sb="5" eb="6">
      <t>ザイ</t>
    </rPh>
    <phoneticPr fontId="1"/>
  </si>
  <si>
    <t>農業（財）B</t>
    <rPh sb="0" eb="2">
      <t>ノウギョウ</t>
    </rPh>
    <rPh sb="3" eb="4">
      <t>ザイ</t>
    </rPh>
    <phoneticPr fontId="1"/>
  </si>
  <si>
    <t>製造業（財）B</t>
    <rPh sb="0" eb="3">
      <t>セイゾウギョウ</t>
    </rPh>
    <rPh sb="4" eb="5">
      <t>ザイ</t>
    </rPh>
    <phoneticPr fontId="1"/>
  </si>
  <si>
    <t>サービス（財）B</t>
    <rPh sb="5" eb="6">
      <t>ザイ</t>
    </rPh>
    <phoneticPr fontId="1"/>
  </si>
  <si>
    <t>SAM4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</si>
</sst>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/>
      <top style="thick">
        <color theme="5"/>
      </top>
      <bottom style="thin">
        <color indexed="64"/>
      </bottom>
      <diagonal/>
    </border>
    <border>
      <left/>
      <right/>
      <top style="thick">
        <color theme="5"/>
      </top>
      <bottom style="thin">
        <color indexed="64"/>
      </bottom>
      <diagonal/>
    </border>
    <border>
      <left/>
      <right style="thick">
        <color theme="5"/>
      </right>
      <top style="thick">
        <color theme="5"/>
      </top>
      <bottom style="thin">
        <color indexed="64"/>
      </bottom>
      <diagonal/>
    </border>
    <border>
      <left style="thick">
        <color theme="5"/>
      </left>
      <right/>
      <top style="thin">
        <color indexed="64"/>
      </top>
      <bottom style="thick">
        <color theme="5"/>
      </bottom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 style="thick">
        <color theme="5"/>
      </right>
      <top style="thin">
        <color indexed="64"/>
      </top>
      <bottom style="thick">
        <color theme="5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ck">
        <color theme="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6" xfId="0" applyFont="1" applyFill="1" applyBorder="1"/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4" xfId="0" applyFont="1" applyFill="1" applyBorder="1"/>
    <xf numFmtId="0" fontId="3" fillId="2" borderId="3" xfId="0" applyFont="1" applyFill="1" applyBorder="1"/>
    <xf numFmtId="0" fontId="2" fillId="8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2" fillId="3" borderId="5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5" borderId="1" xfId="0" applyFont="1" applyFill="1" applyBorder="1" applyAlignment="1">
      <alignment horizontal="right"/>
    </xf>
    <xf numFmtId="0" fontId="2" fillId="3" borderId="2" xfId="0" applyFont="1" applyFill="1" applyBorder="1"/>
    <xf numFmtId="0" fontId="2" fillId="5" borderId="2" xfId="0" applyFont="1" applyFill="1" applyBorder="1"/>
    <xf numFmtId="0" fontId="2" fillId="2" borderId="3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9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shrinkToFit="1"/>
    </xf>
    <xf numFmtId="0" fontId="2" fillId="2" borderId="3" xfId="0" applyFont="1" applyFill="1" applyBorder="1" applyAlignment="1">
      <alignment shrinkToFit="1"/>
    </xf>
    <xf numFmtId="0" fontId="2" fillId="2" borderId="0" xfId="0" applyFont="1" applyFill="1" applyAlignment="1">
      <alignment shrinkToFit="1"/>
    </xf>
    <xf numFmtId="0" fontId="3" fillId="2" borderId="3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zoomScaleNormal="100" workbookViewId="0"/>
  </sheetViews>
  <sheetFormatPr defaultColWidth="9" defaultRowHeight="18.75" x14ac:dyDescent="0.4"/>
  <cols>
    <col min="1" max="1" width="4.625" style="2" customWidth="1"/>
    <col min="2" max="2" width="9" style="2" customWidth="1"/>
    <col min="3" max="8" width="7.625" style="2" customWidth="1"/>
    <col min="9" max="9" width="9" style="2" customWidth="1"/>
    <col min="10" max="16" width="7.625" style="2" customWidth="1"/>
    <col min="17" max="16384" width="9" style="2"/>
  </cols>
  <sheetData>
    <row r="1" spans="1:18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x14ac:dyDescent="0.4">
      <c r="A2" s="1"/>
      <c r="B2" s="3" t="s">
        <v>4</v>
      </c>
      <c r="C2" s="3"/>
      <c r="D2" s="3"/>
      <c r="E2" s="3"/>
      <c r="F2" s="3"/>
      <c r="G2" s="3"/>
      <c r="H2" s="1"/>
      <c r="I2" s="1" t="s">
        <v>5</v>
      </c>
      <c r="J2" s="1"/>
      <c r="K2" s="1"/>
      <c r="L2" s="1"/>
      <c r="M2" s="1"/>
      <c r="N2" s="1"/>
      <c r="O2" s="1"/>
      <c r="P2" s="1"/>
      <c r="Q2" s="1"/>
      <c r="R2" s="1"/>
    </row>
    <row r="3" spans="1:18" ht="19.5" thickBot="1" x14ac:dyDescent="0.45">
      <c r="A3" s="1"/>
      <c r="B3" s="4"/>
      <c r="C3" s="5" t="s">
        <v>11</v>
      </c>
      <c r="D3" s="5" t="s">
        <v>12</v>
      </c>
      <c r="E3" s="5" t="s">
        <v>13</v>
      </c>
      <c r="F3" s="6" t="s">
        <v>3</v>
      </c>
      <c r="G3" s="7" t="s">
        <v>14</v>
      </c>
      <c r="H3" s="6"/>
      <c r="I3" s="4"/>
      <c r="J3" s="8" t="s">
        <v>11</v>
      </c>
      <c r="K3" s="8" t="s">
        <v>12</v>
      </c>
      <c r="L3" s="8" t="s">
        <v>13</v>
      </c>
      <c r="M3" s="8" t="s">
        <v>15</v>
      </c>
      <c r="N3" s="8" t="s">
        <v>16</v>
      </c>
      <c r="O3" s="8" t="s">
        <v>17</v>
      </c>
      <c r="P3" s="7" t="s">
        <v>14</v>
      </c>
      <c r="Q3" s="1"/>
    </row>
    <row r="4" spans="1:18" ht="19.5" thickTop="1" x14ac:dyDescent="0.4">
      <c r="A4" s="1"/>
      <c r="B4" s="9" t="s">
        <v>11</v>
      </c>
      <c r="C4" s="21">
        <v>30</v>
      </c>
      <c r="D4" s="21">
        <v>10</v>
      </c>
      <c r="E4" s="21">
        <v>30</v>
      </c>
      <c r="F4" s="36">
        <v>70</v>
      </c>
      <c r="G4" s="10">
        <f>SUM(C4:F4)</f>
        <v>140</v>
      </c>
      <c r="H4" s="1"/>
      <c r="I4" s="11" t="s">
        <v>11</v>
      </c>
      <c r="J4" s="13">
        <f>C4</f>
        <v>30</v>
      </c>
      <c r="K4" s="13">
        <f t="shared" ref="K4:K8" si="0">D4</f>
        <v>10</v>
      </c>
      <c r="L4" s="13">
        <f t="shared" ref="L4:L8" si="1">E4</f>
        <v>30</v>
      </c>
      <c r="M4" s="12"/>
      <c r="N4" s="12"/>
      <c r="O4" s="39">
        <f>F4</f>
        <v>70</v>
      </c>
      <c r="P4" s="14">
        <f t="shared" ref="P4:P9" si="2">SUM(J4:O4)</f>
        <v>140</v>
      </c>
      <c r="Q4" s="1"/>
    </row>
    <row r="5" spans="1:18" x14ac:dyDescent="0.4">
      <c r="A5" s="1"/>
      <c r="B5" s="9" t="s">
        <v>12</v>
      </c>
      <c r="C5" s="21">
        <v>10</v>
      </c>
      <c r="D5" s="21">
        <v>50</v>
      </c>
      <c r="E5" s="21">
        <v>20</v>
      </c>
      <c r="F5" s="37">
        <v>220</v>
      </c>
      <c r="G5" s="10">
        <f t="shared" ref="G5:G6" si="3">SUM(C5:F5)</f>
        <v>300</v>
      </c>
      <c r="H5" s="1"/>
      <c r="I5" s="11" t="s">
        <v>12</v>
      </c>
      <c r="J5" s="13">
        <f t="shared" ref="J5:J8" si="4">C5</f>
        <v>10</v>
      </c>
      <c r="K5" s="13">
        <f t="shared" si="0"/>
        <v>50</v>
      </c>
      <c r="L5" s="13">
        <f t="shared" si="1"/>
        <v>20</v>
      </c>
      <c r="M5" s="12"/>
      <c r="N5" s="12"/>
      <c r="O5" s="39">
        <f t="shared" ref="O5:O6" si="5">F5</f>
        <v>220</v>
      </c>
      <c r="P5" s="14">
        <f t="shared" si="2"/>
        <v>300</v>
      </c>
      <c r="Q5" s="1"/>
    </row>
    <row r="6" spans="1:18" ht="19.5" thickBot="1" x14ac:dyDescent="0.45">
      <c r="A6" s="1"/>
      <c r="B6" s="9" t="s">
        <v>13</v>
      </c>
      <c r="C6" s="29">
        <v>20</v>
      </c>
      <c r="D6" s="29">
        <v>40</v>
      </c>
      <c r="E6" s="29">
        <v>20</v>
      </c>
      <c r="F6" s="38">
        <v>70</v>
      </c>
      <c r="G6" s="10">
        <f t="shared" si="3"/>
        <v>150</v>
      </c>
      <c r="H6" s="1"/>
      <c r="I6" s="11" t="s">
        <v>13</v>
      </c>
      <c r="J6" s="13">
        <f t="shared" si="4"/>
        <v>20</v>
      </c>
      <c r="K6" s="13">
        <f t="shared" si="0"/>
        <v>40</v>
      </c>
      <c r="L6" s="13">
        <f t="shared" si="1"/>
        <v>20</v>
      </c>
      <c r="M6" s="12"/>
      <c r="N6" s="12"/>
      <c r="O6" s="39">
        <f t="shared" si="5"/>
        <v>70</v>
      </c>
      <c r="P6" s="14">
        <f t="shared" si="2"/>
        <v>150</v>
      </c>
      <c r="Q6" s="1"/>
    </row>
    <row r="7" spans="1:18" ht="19.5" thickTop="1" x14ac:dyDescent="0.4">
      <c r="A7" s="1"/>
      <c r="B7" s="10" t="s">
        <v>15</v>
      </c>
      <c r="C7" s="30">
        <v>50</v>
      </c>
      <c r="D7" s="31">
        <v>80</v>
      </c>
      <c r="E7" s="32">
        <v>50</v>
      </c>
      <c r="F7" s="1"/>
      <c r="G7" s="1"/>
      <c r="H7" s="1"/>
      <c r="I7" s="11" t="s">
        <v>15</v>
      </c>
      <c r="J7" s="13">
        <f t="shared" si="4"/>
        <v>50</v>
      </c>
      <c r="K7" s="13">
        <f t="shared" si="0"/>
        <v>80</v>
      </c>
      <c r="L7" s="13">
        <f t="shared" si="1"/>
        <v>50</v>
      </c>
      <c r="M7" s="12"/>
      <c r="N7" s="12"/>
      <c r="O7" s="12"/>
      <c r="P7" s="14">
        <f t="shared" si="2"/>
        <v>180</v>
      </c>
      <c r="Q7" s="1"/>
    </row>
    <row r="8" spans="1:18" ht="19.5" thickBot="1" x14ac:dyDescent="0.45">
      <c r="A8" s="1"/>
      <c r="B8" s="10" t="s">
        <v>16</v>
      </c>
      <c r="C8" s="33">
        <v>30</v>
      </c>
      <c r="D8" s="34">
        <v>120</v>
      </c>
      <c r="E8" s="35">
        <v>30</v>
      </c>
      <c r="F8" s="1"/>
      <c r="G8" s="1"/>
      <c r="H8" s="1"/>
      <c r="I8" s="11" t="s">
        <v>16</v>
      </c>
      <c r="J8" s="13">
        <f t="shared" si="4"/>
        <v>30</v>
      </c>
      <c r="K8" s="13">
        <f t="shared" si="0"/>
        <v>120</v>
      </c>
      <c r="L8" s="13">
        <f t="shared" si="1"/>
        <v>30</v>
      </c>
      <c r="M8" s="12"/>
      <c r="N8" s="12"/>
      <c r="O8" s="12"/>
      <c r="P8" s="14">
        <f t="shared" si="2"/>
        <v>180</v>
      </c>
      <c r="Q8" s="1"/>
    </row>
    <row r="9" spans="1:18" ht="19.5" thickTop="1" x14ac:dyDescent="0.4">
      <c r="A9" s="1"/>
      <c r="B9" s="15" t="s">
        <v>18</v>
      </c>
      <c r="C9" s="3">
        <f>SUM(C4:C8)</f>
        <v>140</v>
      </c>
      <c r="D9" s="3">
        <f t="shared" ref="D9:E9" si="6">SUM(D4:D8)</f>
        <v>300</v>
      </c>
      <c r="E9" s="3">
        <f t="shared" si="6"/>
        <v>150</v>
      </c>
      <c r="F9" s="1"/>
      <c r="G9" s="1"/>
      <c r="H9" s="1"/>
      <c r="I9" s="11" t="s">
        <v>17</v>
      </c>
      <c r="J9" s="12"/>
      <c r="K9" s="12"/>
      <c r="L9" s="12"/>
      <c r="M9" s="12">
        <f>SUM(C7:E7)</f>
        <v>180</v>
      </c>
      <c r="N9" s="12">
        <f>SUM(C8:E8)</f>
        <v>180</v>
      </c>
      <c r="O9" s="12"/>
      <c r="P9" s="14">
        <f t="shared" si="2"/>
        <v>360</v>
      </c>
      <c r="Q9" s="1"/>
    </row>
    <row r="10" spans="1:18" x14ac:dyDescent="0.4">
      <c r="A10" s="1"/>
      <c r="B10" s="1"/>
      <c r="C10" s="1"/>
      <c r="D10" s="1"/>
      <c r="E10" s="1"/>
      <c r="F10" s="1"/>
      <c r="G10" s="1"/>
      <c r="H10" s="1"/>
      <c r="I10" s="11" t="s">
        <v>18</v>
      </c>
      <c r="J10" s="12">
        <f t="shared" ref="J10:O10" si="7">SUM(J4:J9)</f>
        <v>140</v>
      </c>
      <c r="K10" s="12">
        <f t="shared" si="7"/>
        <v>300</v>
      </c>
      <c r="L10" s="12">
        <f t="shared" si="7"/>
        <v>150</v>
      </c>
      <c r="M10" s="12">
        <f t="shared" si="7"/>
        <v>180</v>
      </c>
      <c r="N10" s="12">
        <f t="shared" si="7"/>
        <v>180</v>
      </c>
      <c r="O10" s="12">
        <f t="shared" si="7"/>
        <v>360</v>
      </c>
      <c r="P10" s="14"/>
      <c r="Q10" s="1"/>
    </row>
    <row r="11" spans="1:18" x14ac:dyDescent="0.4">
      <c r="A11" s="1"/>
      <c r="B11" s="10" t="s">
        <v>19</v>
      </c>
      <c r="C11" s="10">
        <f>SUM(C7:E8)</f>
        <v>360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x14ac:dyDescent="0.4">
      <c r="A12" s="1"/>
      <c r="B12" s="10" t="s">
        <v>20</v>
      </c>
      <c r="C12" s="10">
        <f>SUM(F4:F6)</f>
        <v>360</v>
      </c>
      <c r="D12" s="1"/>
      <c r="E12" s="1"/>
      <c r="F12" s="1"/>
      <c r="G12" s="1"/>
      <c r="H12" s="1"/>
      <c r="I12" s="9" t="s">
        <v>14</v>
      </c>
      <c r="J12" s="10">
        <f t="array" ref="J12:O12">TRANSPOSE(P4:P9)</f>
        <v>140</v>
      </c>
      <c r="K12" s="10">
        <v>300</v>
      </c>
      <c r="L12" s="10">
        <v>150</v>
      </c>
      <c r="M12" s="10">
        <v>180</v>
      </c>
      <c r="N12" s="10">
        <v>180</v>
      </c>
      <c r="O12" s="10">
        <v>360</v>
      </c>
      <c r="P12" s="10"/>
      <c r="Q12" s="1"/>
    </row>
    <row r="13" spans="1:18" x14ac:dyDescent="0.4">
      <c r="A13" s="1"/>
      <c r="B13" s="1"/>
      <c r="C13" s="1"/>
      <c r="D13" s="1"/>
      <c r="E13" s="1"/>
      <c r="F13" s="1"/>
      <c r="G13" s="1"/>
      <c r="H13" s="1"/>
      <c r="I13" s="9" t="s">
        <v>1</v>
      </c>
      <c r="J13" s="8" t="str">
        <f t="shared" ref="J13:O13" si="8">IF(ROUND(J10-J12,4)=0,"OK","xxx")</f>
        <v>OK</v>
      </c>
      <c r="K13" s="8" t="str">
        <f t="shared" si="8"/>
        <v>OK</v>
      </c>
      <c r="L13" s="8" t="str">
        <f t="shared" si="8"/>
        <v>OK</v>
      </c>
      <c r="M13" s="8" t="str">
        <f t="shared" si="8"/>
        <v>OK</v>
      </c>
      <c r="N13" s="8" t="str">
        <f t="shared" si="8"/>
        <v>OK</v>
      </c>
      <c r="O13" s="8" t="str">
        <f t="shared" si="8"/>
        <v>OK</v>
      </c>
      <c r="P13" s="10"/>
      <c r="Q13" s="1"/>
    </row>
    <row r="14" spans="1: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zoomScaleNormal="100" workbookViewId="0"/>
  </sheetViews>
  <sheetFormatPr defaultColWidth="9" defaultRowHeight="18.75" x14ac:dyDescent="0.4"/>
  <cols>
    <col min="1" max="1" width="4.625" style="2" customWidth="1"/>
    <col min="2" max="9" width="8.25" style="2" customWidth="1"/>
    <col min="10" max="10" width="5.125" style="2" customWidth="1"/>
    <col min="11" max="11" width="3.75" style="2" customWidth="1"/>
    <col min="12" max="12" width="9" style="2"/>
    <col min="13" max="23" width="7.625" style="2" customWidth="1"/>
    <col min="24" max="16384" width="9" style="2"/>
  </cols>
  <sheetData>
    <row r="1" spans="1:24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4">
      <c r="A2" s="1"/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 t="s">
        <v>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7.5" x14ac:dyDescent="0.4">
      <c r="A3" s="1"/>
      <c r="B3" s="16"/>
      <c r="C3" s="17" t="s">
        <v>11</v>
      </c>
      <c r="D3" s="17" t="s">
        <v>12</v>
      </c>
      <c r="E3" s="17" t="s">
        <v>13</v>
      </c>
      <c r="F3" s="17" t="s">
        <v>3</v>
      </c>
      <c r="G3" s="17" t="s">
        <v>21</v>
      </c>
      <c r="H3" s="17" t="s">
        <v>10</v>
      </c>
      <c r="I3" s="18" t="s">
        <v>14</v>
      </c>
      <c r="J3" s="1"/>
      <c r="K3" s="1"/>
      <c r="L3" s="19"/>
      <c r="M3" s="20" t="s">
        <v>11</v>
      </c>
      <c r="N3" s="20" t="s">
        <v>12</v>
      </c>
      <c r="O3" s="20" t="s">
        <v>13</v>
      </c>
      <c r="P3" s="20" t="s">
        <v>15</v>
      </c>
      <c r="Q3" s="20" t="s">
        <v>16</v>
      </c>
      <c r="R3" s="20" t="s">
        <v>22</v>
      </c>
      <c r="S3" s="20" t="s">
        <v>23</v>
      </c>
      <c r="T3" s="20" t="s">
        <v>17</v>
      </c>
      <c r="U3" s="20" t="s">
        <v>24</v>
      </c>
      <c r="V3" s="20" t="s">
        <v>21</v>
      </c>
      <c r="W3" s="18" t="s">
        <v>14</v>
      </c>
      <c r="X3" s="1"/>
    </row>
    <row r="4" spans="1:24" ht="18.75" customHeight="1" x14ac:dyDescent="0.4">
      <c r="A4" s="1"/>
      <c r="B4" s="9" t="s">
        <v>11</v>
      </c>
      <c r="C4" s="21">
        <v>30</v>
      </c>
      <c r="D4" s="21">
        <v>10</v>
      </c>
      <c r="E4" s="21">
        <v>30</v>
      </c>
      <c r="F4" s="28">
        <v>70</v>
      </c>
      <c r="G4" s="28">
        <v>10</v>
      </c>
      <c r="H4" s="28">
        <v>10</v>
      </c>
      <c r="I4" s="22">
        <f>SUM(C4:H4)</f>
        <v>160</v>
      </c>
      <c r="J4" s="1"/>
      <c r="K4" s="1"/>
      <c r="L4" s="23" t="s">
        <v>11</v>
      </c>
      <c r="M4" s="21">
        <f>C4</f>
        <v>30</v>
      </c>
      <c r="N4" s="21">
        <f t="shared" ref="N4:N9" si="0">D4</f>
        <v>10</v>
      </c>
      <c r="O4" s="21">
        <f t="shared" ref="O4:O9" si="1">E4</f>
        <v>30</v>
      </c>
      <c r="P4" s="10"/>
      <c r="Q4" s="10"/>
      <c r="R4" s="10"/>
      <c r="S4" s="10"/>
      <c r="T4" s="28">
        <f>F4</f>
        <v>70</v>
      </c>
      <c r="U4" s="28">
        <f>H4</f>
        <v>10</v>
      </c>
      <c r="V4" s="28">
        <f>G4</f>
        <v>10</v>
      </c>
      <c r="W4" s="22">
        <f>SUM(M4:V4)</f>
        <v>160</v>
      </c>
      <c r="X4" s="1"/>
    </row>
    <row r="5" spans="1:24" ht="18.75" customHeight="1" x14ac:dyDescent="0.4">
      <c r="A5" s="1"/>
      <c r="B5" s="9" t="s">
        <v>12</v>
      </c>
      <c r="C5" s="21">
        <v>10</v>
      </c>
      <c r="D5" s="21">
        <v>50</v>
      </c>
      <c r="E5" s="21">
        <v>20</v>
      </c>
      <c r="F5" s="28">
        <v>220</v>
      </c>
      <c r="G5" s="28">
        <v>50</v>
      </c>
      <c r="H5" s="28">
        <v>20</v>
      </c>
      <c r="I5" s="22">
        <f t="shared" ref="I5:I6" si="2">SUM(C5:H5)</f>
        <v>370</v>
      </c>
      <c r="J5" s="1"/>
      <c r="K5" s="1"/>
      <c r="L5" s="23" t="s">
        <v>12</v>
      </c>
      <c r="M5" s="21">
        <f t="shared" ref="M5:M9" si="3">C5</f>
        <v>10</v>
      </c>
      <c r="N5" s="21">
        <f t="shared" si="0"/>
        <v>50</v>
      </c>
      <c r="O5" s="21">
        <f t="shared" si="1"/>
        <v>20</v>
      </c>
      <c r="P5" s="10"/>
      <c r="Q5" s="10"/>
      <c r="R5" s="10"/>
      <c r="S5" s="10"/>
      <c r="T5" s="28">
        <f t="shared" ref="T5:T6" si="4">F5</f>
        <v>220</v>
      </c>
      <c r="U5" s="28">
        <f t="shared" ref="U5:U6" si="5">H5</f>
        <v>20</v>
      </c>
      <c r="V5" s="28">
        <f t="shared" ref="V5:V6" si="6">G5</f>
        <v>50</v>
      </c>
      <c r="W5" s="22">
        <f t="shared" ref="W5:W13" si="7">SUM(M5:V5)</f>
        <v>370</v>
      </c>
      <c r="X5" s="1"/>
    </row>
    <row r="6" spans="1:24" ht="18.75" customHeight="1" x14ac:dyDescent="0.4">
      <c r="A6" s="1"/>
      <c r="B6" s="9" t="s">
        <v>13</v>
      </c>
      <c r="C6" s="21">
        <v>20</v>
      </c>
      <c r="D6" s="21">
        <v>40</v>
      </c>
      <c r="E6" s="21">
        <v>20</v>
      </c>
      <c r="F6" s="28">
        <v>70</v>
      </c>
      <c r="G6" s="28">
        <v>0</v>
      </c>
      <c r="H6" s="28">
        <v>40</v>
      </c>
      <c r="I6" s="22">
        <f t="shared" si="2"/>
        <v>190</v>
      </c>
      <c r="J6" s="1"/>
      <c r="K6" s="1"/>
      <c r="L6" s="23" t="s">
        <v>13</v>
      </c>
      <c r="M6" s="21">
        <f t="shared" si="3"/>
        <v>20</v>
      </c>
      <c r="N6" s="21">
        <f t="shared" si="0"/>
        <v>40</v>
      </c>
      <c r="O6" s="21">
        <f t="shared" si="1"/>
        <v>20</v>
      </c>
      <c r="P6" s="10"/>
      <c r="Q6" s="10"/>
      <c r="R6" s="10"/>
      <c r="S6" s="10"/>
      <c r="T6" s="28">
        <f t="shared" si="4"/>
        <v>70</v>
      </c>
      <c r="U6" s="28">
        <f t="shared" si="5"/>
        <v>40</v>
      </c>
      <c r="V6" s="28">
        <f t="shared" si="6"/>
        <v>0</v>
      </c>
      <c r="W6" s="22">
        <f t="shared" si="7"/>
        <v>190</v>
      </c>
      <c r="X6" s="1"/>
    </row>
    <row r="7" spans="1:24" ht="18.75" customHeight="1" x14ac:dyDescent="0.4">
      <c r="A7" s="1"/>
      <c r="B7" s="9" t="s">
        <v>15</v>
      </c>
      <c r="C7" s="21">
        <v>60</v>
      </c>
      <c r="D7" s="21">
        <v>105</v>
      </c>
      <c r="E7" s="21">
        <v>70</v>
      </c>
      <c r="F7" s="1"/>
      <c r="G7" s="1"/>
      <c r="H7" s="1"/>
      <c r="I7" s="1"/>
      <c r="J7" s="1"/>
      <c r="K7" s="1"/>
      <c r="L7" s="23" t="s">
        <v>15</v>
      </c>
      <c r="M7" s="21">
        <f t="shared" si="3"/>
        <v>60</v>
      </c>
      <c r="N7" s="21">
        <f t="shared" si="0"/>
        <v>105</v>
      </c>
      <c r="O7" s="21">
        <f t="shared" si="1"/>
        <v>70</v>
      </c>
      <c r="P7" s="10"/>
      <c r="Q7" s="10"/>
      <c r="R7" s="10"/>
      <c r="S7" s="10"/>
      <c r="T7" s="10"/>
      <c r="U7" s="10"/>
      <c r="V7" s="10"/>
      <c r="W7" s="22">
        <f t="shared" si="7"/>
        <v>235</v>
      </c>
      <c r="X7" s="1"/>
    </row>
    <row r="8" spans="1:24" ht="18.75" customHeight="1" x14ac:dyDescent="0.4">
      <c r="A8" s="1"/>
      <c r="B8" s="9" t="s">
        <v>16</v>
      </c>
      <c r="C8" s="21">
        <v>30</v>
      </c>
      <c r="D8" s="21">
        <v>150</v>
      </c>
      <c r="E8" s="21">
        <v>40</v>
      </c>
      <c r="F8" s="1"/>
      <c r="G8" s="1"/>
      <c r="H8" s="1"/>
      <c r="I8" s="1"/>
      <c r="J8" s="1"/>
      <c r="K8" s="1"/>
      <c r="L8" s="23" t="s">
        <v>16</v>
      </c>
      <c r="M8" s="21">
        <f t="shared" si="3"/>
        <v>30</v>
      </c>
      <c r="N8" s="21">
        <f t="shared" si="0"/>
        <v>150</v>
      </c>
      <c r="O8" s="21">
        <f t="shared" si="1"/>
        <v>40</v>
      </c>
      <c r="P8" s="10"/>
      <c r="Q8" s="10"/>
      <c r="R8" s="10"/>
      <c r="S8" s="10"/>
      <c r="T8" s="10"/>
      <c r="U8" s="10"/>
      <c r="V8" s="10"/>
      <c r="W8" s="22">
        <f t="shared" si="7"/>
        <v>220</v>
      </c>
      <c r="X8" s="1"/>
    </row>
    <row r="9" spans="1:24" ht="18.75" customHeight="1" x14ac:dyDescent="0.4">
      <c r="A9" s="1"/>
      <c r="B9" s="15" t="s">
        <v>22</v>
      </c>
      <c r="C9" s="40">
        <v>10</v>
      </c>
      <c r="D9" s="40">
        <v>15</v>
      </c>
      <c r="E9" s="40">
        <v>10</v>
      </c>
      <c r="F9" s="1"/>
      <c r="G9" s="1"/>
      <c r="H9" s="1"/>
      <c r="I9" s="1"/>
      <c r="J9" s="1"/>
      <c r="K9" s="1"/>
      <c r="L9" s="23" t="s">
        <v>22</v>
      </c>
      <c r="M9" s="21">
        <f t="shared" si="3"/>
        <v>10</v>
      </c>
      <c r="N9" s="21">
        <f t="shared" si="0"/>
        <v>15</v>
      </c>
      <c r="O9" s="21">
        <f t="shared" si="1"/>
        <v>10</v>
      </c>
      <c r="P9" s="10"/>
      <c r="Q9" s="10"/>
      <c r="R9" s="10"/>
      <c r="S9" s="10"/>
      <c r="T9" s="10"/>
      <c r="U9" s="10"/>
      <c r="V9" s="10"/>
      <c r="W9" s="22">
        <f t="shared" si="7"/>
        <v>35</v>
      </c>
      <c r="X9" s="1"/>
    </row>
    <row r="10" spans="1:24" ht="18.75" customHeight="1" x14ac:dyDescent="0.4">
      <c r="A10" s="1"/>
      <c r="B10" s="15" t="s">
        <v>18</v>
      </c>
      <c r="C10" s="3">
        <f>SUM(C4:C9)</f>
        <v>160</v>
      </c>
      <c r="D10" s="3">
        <f t="shared" ref="D10:E10" si="8">SUM(D4:D9)</f>
        <v>370</v>
      </c>
      <c r="E10" s="3">
        <f t="shared" si="8"/>
        <v>190</v>
      </c>
      <c r="F10" s="1"/>
      <c r="G10" s="1"/>
      <c r="H10" s="1"/>
      <c r="I10" s="1"/>
      <c r="J10" s="1"/>
      <c r="K10" s="1"/>
      <c r="L10" s="23" t="s">
        <v>23</v>
      </c>
      <c r="M10" s="10"/>
      <c r="N10" s="10"/>
      <c r="O10" s="10"/>
      <c r="P10" s="10"/>
      <c r="Q10" s="10"/>
      <c r="R10" s="10"/>
      <c r="S10" s="10"/>
      <c r="T10" s="10">
        <f>C15</f>
        <v>35</v>
      </c>
      <c r="U10" s="10"/>
      <c r="V10" s="10"/>
      <c r="W10" s="22">
        <f t="shared" si="7"/>
        <v>35</v>
      </c>
      <c r="X10" s="1"/>
    </row>
    <row r="11" spans="1:24" ht="18.75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3" t="s">
        <v>17</v>
      </c>
      <c r="M11" s="10"/>
      <c r="N11" s="10"/>
      <c r="O11" s="10"/>
      <c r="P11" s="10">
        <f>SUM(C7:E7)</f>
        <v>235</v>
      </c>
      <c r="Q11" s="10">
        <f>SUM(C8:E8)</f>
        <v>220</v>
      </c>
      <c r="R11" s="10"/>
      <c r="S11" s="10"/>
      <c r="T11" s="10"/>
      <c r="U11" s="10"/>
      <c r="V11" s="10"/>
      <c r="W11" s="22">
        <f t="shared" si="7"/>
        <v>455</v>
      </c>
      <c r="X11" s="1"/>
    </row>
    <row r="12" spans="1:24" ht="18.75" customHeight="1" x14ac:dyDescent="0.4">
      <c r="A12" s="1"/>
      <c r="B12" s="10" t="s">
        <v>19</v>
      </c>
      <c r="C12" s="10">
        <f>SUM(C7:E9)</f>
        <v>490</v>
      </c>
      <c r="D12" s="1"/>
      <c r="E12" s="1"/>
      <c r="F12" s="1"/>
      <c r="G12" s="1"/>
      <c r="H12" s="1"/>
      <c r="I12" s="1"/>
      <c r="J12" s="1"/>
      <c r="K12" s="1"/>
      <c r="L12" s="23" t="s">
        <v>24</v>
      </c>
      <c r="M12" s="10"/>
      <c r="N12" s="10"/>
      <c r="O12" s="10"/>
      <c r="P12" s="10"/>
      <c r="Q12" s="10"/>
      <c r="R12" s="10">
        <f>SUM(C9:E9)</f>
        <v>35</v>
      </c>
      <c r="S12" s="10">
        <f>C15</f>
        <v>35</v>
      </c>
      <c r="T12" s="10"/>
      <c r="U12" s="10"/>
      <c r="V12" s="10"/>
      <c r="W12" s="22">
        <f t="shared" si="7"/>
        <v>70</v>
      </c>
      <c r="X12" s="1"/>
    </row>
    <row r="13" spans="1:24" ht="18.75" customHeight="1" x14ac:dyDescent="0.4">
      <c r="A13" s="1"/>
      <c r="B13" s="10" t="s">
        <v>20</v>
      </c>
      <c r="C13" s="10">
        <f>SUM(F4:H6)</f>
        <v>490</v>
      </c>
      <c r="D13" s="1"/>
      <c r="E13" s="1"/>
      <c r="F13" s="1"/>
      <c r="G13" s="1"/>
      <c r="H13" s="1"/>
      <c r="I13" s="1"/>
      <c r="J13" s="1"/>
      <c r="K13" s="1"/>
      <c r="L13" s="23" t="s">
        <v>21</v>
      </c>
      <c r="M13" s="10"/>
      <c r="N13" s="10"/>
      <c r="O13" s="10"/>
      <c r="P13" s="10"/>
      <c r="Q13" s="10"/>
      <c r="R13" s="10"/>
      <c r="S13" s="10"/>
      <c r="T13" s="10">
        <f>SUM(G4:G6)</f>
        <v>60</v>
      </c>
      <c r="U13" s="10"/>
      <c r="V13" s="10"/>
      <c r="W13" s="22">
        <f t="shared" si="7"/>
        <v>60</v>
      </c>
      <c r="X13" s="1"/>
    </row>
    <row r="14" spans="1:24" ht="18.7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9" t="s">
        <v>18</v>
      </c>
      <c r="M14" s="10">
        <f>SUM(M4:M13)</f>
        <v>160</v>
      </c>
      <c r="N14" s="10">
        <f>SUM(N4:N13)</f>
        <v>370</v>
      </c>
      <c r="O14" s="10">
        <f>SUM(O4:O13)</f>
        <v>190</v>
      </c>
      <c r="P14" s="10">
        <f>SUM(P4:P13)</f>
        <v>235</v>
      </c>
      <c r="Q14" s="10">
        <f>SUM(Q4:Q13)</f>
        <v>220</v>
      </c>
      <c r="R14" s="10">
        <f t="shared" ref="R14:S14" si="9">SUM(R4:R13)</f>
        <v>35</v>
      </c>
      <c r="S14" s="10">
        <f t="shared" si="9"/>
        <v>35</v>
      </c>
      <c r="T14" s="10">
        <f>SUM(T4:T13)</f>
        <v>455</v>
      </c>
      <c r="U14" s="10">
        <f>SUM(U4:U13)</f>
        <v>70</v>
      </c>
      <c r="V14" s="10">
        <f>SUM(V4:V13)</f>
        <v>60</v>
      </c>
      <c r="W14" s="22"/>
      <c r="X14" s="1"/>
    </row>
    <row r="15" spans="1:24" ht="18.75" customHeight="1" x14ac:dyDescent="0.4">
      <c r="A15" s="1"/>
      <c r="B15" s="10" t="s">
        <v>23</v>
      </c>
      <c r="C15" s="10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.7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3" t="s">
        <v>14</v>
      </c>
      <c r="M16" s="10">
        <f t="array" ref="M16:V16">TRANSPOSE(W4:W13)</f>
        <v>160</v>
      </c>
      <c r="N16" s="10">
        <v>370</v>
      </c>
      <c r="O16" s="10">
        <v>190</v>
      </c>
      <c r="P16" s="10">
        <v>235</v>
      </c>
      <c r="Q16" s="10">
        <v>220</v>
      </c>
      <c r="R16" s="10">
        <v>35</v>
      </c>
      <c r="S16" s="10">
        <v>35</v>
      </c>
      <c r="T16" s="10">
        <v>455</v>
      </c>
      <c r="U16" s="10">
        <v>70</v>
      </c>
      <c r="V16" s="10">
        <v>60</v>
      </c>
      <c r="W16" s="1"/>
      <c r="X16" s="1"/>
    </row>
    <row r="17" spans="1:24" ht="18.7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9" t="s">
        <v>2</v>
      </c>
      <c r="M17" s="8" t="str">
        <f t="shared" ref="M17:V17" si="10">IF(ROUND(M14-M16,2)=0,"OK","xxx")</f>
        <v>OK</v>
      </c>
      <c r="N17" s="8" t="str">
        <f t="shared" si="10"/>
        <v>OK</v>
      </c>
      <c r="O17" s="8" t="str">
        <f t="shared" si="10"/>
        <v>OK</v>
      </c>
      <c r="P17" s="8" t="str">
        <f t="shared" si="10"/>
        <v>OK</v>
      </c>
      <c r="Q17" s="8" t="str">
        <f t="shared" si="10"/>
        <v>OK</v>
      </c>
      <c r="R17" s="8" t="str">
        <f t="shared" si="10"/>
        <v>OK</v>
      </c>
      <c r="S17" s="8" t="str">
        <f t="shared" si="10"/>
        <v>OK</v>
      </c>
      <c r="T17" s="8" t="str">
        <f t="shared" si="10"/>
        <v>OK</v>
      </c>
      <c r="U17" s="8" t="str">
        <f t="shared" si="10"/>
        <v>OK</v>
      </c>
      <c r="V17" s="8" t="str">
        <f t="shared" si="10"/>
        <v>OK</v>
      </c>
      <c r="W17" s="1"/>
      <c r="X17" s="1"/>
    </row>
    <row r="18" spans="1:24" ht="18.7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8.75" customHeight="1" x14ac:dyDescent="0.4"/>
    <row r="20" spans="1:24" ht="18.75" customHeight="1" x14ac:dyDescent="0.4"/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3"/>
  <sheetViews>
    <sheetView zoomScaleNormal="100" workbookViewId="0"/>
  </sheetViews>
  <sheetFormatPr defaultColWidth="9" defaultRowHeight="18.75" x14ac:dyDescent="0.4"/>
  <cols>
    <col min="1" max="1" width="4.625" style="2" customWidth="1"/>
    <col min="2" max="2" width="10.625" style="2" customWidth="1"/>
    <col min="3" max="5" width="7.5" style="2" customWidth="1"/>
    <col min="6" max="12" width="6.125" style="2" customWidth="1"/>
    <col min="13" max="13" width="5.625" style="2" customWidth="1"/>
    <col min="14" max="14" width="14.375" style="2" customWidth="1"/>
    <col min="15" max="29" width="7.25" style="2" customWidth="1"/>
    <col min="30" max="30" width="7.625" style="2" customWidth="1"/>
    <col min="31" max="16384" width="9" style="2"/>
  </cols>
  <sheetData>
    <row r="1" spans="1:3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4">
      <c r="A2" s="1"/>
      <c r="B2" s="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46" customFormat="1" ht="37.5" x14ac:dyDescent="0.4">
      <c r="A3" s="45"/>
      <c r="B3" s="42"/>
      <c r="C3" s="17" t="s">
        <v>11</v>
      </c>
      <c r="D3" s="17" t="s">
        <v>12</v>
      </c>
      <c r="E3" s="17" t="s">
        <v>13</v>
      </c>
      <c r="F3" s="17" t="s">
        <v>3</v>
      </c>
      <c r="G3" s="17" t="s">
        <v>21</v>
      </c>
      <c r="H3" s="17" t="s">
        <v>10</v>
      </c>
      <c r="I3" s="17" t="s">
        <v>25</v>
      </c>
      <c r="J3" s="17" t="s">
        <v>26</v>
      </c>
      <c r="K3" s="17" t="s">
        <v>27</v>
      </c>
      <c r="L3" s="18" t="s">
        <v>28</v>
      </c>
      <c r="M3" s="43"/>
      <c r="N3" s="44"/>
      <c r="O3" s="48" t="s">
        <v>29</v>
      </c>
      <c r="P3" s="48" t="s">
        <v>30</v>
      </c>
      <c r="Q3" s="48" t="s">
        <v>31</v>
      </c>
      <c r="R3" s="48" t="s">
        <v>15</v>
      </c>
      <c r="S3" s="48" t="s">
        <v>16</v>
      </c>
      <c r="T3" s="48" t="s">
        <v>22</v>
      </c>
      <c r="U3" s="48" t="s">
        <v>23</v>
      </c>
      <c r="V3" s="48" t="s">
        <v>27</v>
      </c>
      <c r="W3" s="48" t="s">
        <v>32</v>
      </c>
      <c r="X3" s="48" t="s">
        <v>33</v>
      </c>
      <c r="Y3" s="48" t="s">
        <v>34</v>
      </c>
      <c r="Z3" s="48" t="s">
        <v>17</v>
      </c>
      <c r="AA3" s="48" t="s">
        <v>24</v>
      </c>
      <c r="AB3" s="48" t="s">
        <v>21</v>
      </c>
      <c r="AC3" s="48" t="s">
        <v>35</v>
      </c>
      <c r="AD3" s="49" t="s">
        <v>14</v>
      </c>
      <c r="AE3" s="45"/>
    </row>
    <row r="4" spans="1:31" x14ac:dyDescent="0.4">
      <c r="A4" s="1"/>
      <c r="B4" s="9" t="s">
        <v>11</v>
      </c>
      <c r="C4" s="24">
        <v>30</v>
      </c>
      <c r="D4" s="24">
        <v>10</v>
      </c>
      <c r="E4" s="24">
        <v>30</v>
      </c>
      <c r="F4" s="21">
        <v>70</v>
      </c>
      <c r="G4" s="21">
        <v>10</v>
      </c>
      <c r="H4" s="21">
        <v>10</v>
      </c>
      <c r="I4" s="21">
        <v>0</v>
      </c>
      <c r="J4" s="25">
        <v>-20</v>
      </c>
      <c r="K4" s="25">
        <v>-5</v>
      </c>
      <c r="L4" s="22">
        <f>SUM(C4:K4)</f>
        <v>135</v>
      </c>
      <c r="M4" s="1"/>
      <c r="N4" s="50" t="s">
        <v>29</v>
      </c>
      <c r="O4" s="10"/>
      <c r="P4" s="10"/>
      <c r="Q4" s="10"/>
      <c r="R4" s="10"/>
      <c r="S4" s="10"/>
      <c r="T4" s="10"/>
      <c r="U4" s="10"/>
      <c r="V4" s="10"/>
      <c r="W4" s="10">
        <f>C10</f>
        <v>135</v>
      </c>
      <c r="X4" s="10"/>
      <c r="Y4" s="10"/>
      <c r="Z4" s="10"/>
      <c r="AA4" s="10"/>
      <c r="AB4" s="10"/>
      <c r="AC4" s="10"/>
      <c r="AD4" s="22">
        <f>SUM(O4:AC4)</f>
        <v>135</v>
      </c>
      <c r="AE4" s="1"/>
    </row>
    <row r="5" spans="1:31" x14ac:dyDescent="0.4">
      <c r="A5" s="1"/>
      <c r="B5" s="9" t="s">
        <v>12</v>
      </c>
      <c r="C5" s="24">
        <v>10</v>
      </c>
      <c r="D5" s="24">
        <v>50</v>
      </c>
      <c r="E5" s="24">
        <v>20</v>
      </c>
      <c r="F5" s="21">
        <v>220</v>
      </c>
      <c r="G5" s="21">
        <v>50</v>
      </c>
      <c r="H5" s="21">
        <v>20</v>
      </c>
      <c r="I5" s="21">
        <v>80</v>
      </c>
      <c r="J5" s="25">
        <v>-40</v>
      </c>
      <c r="K5" s="25">
        <v>0</v>
      </c>
      <c r="L5" s="22">
        <f>SUM(C5:K5)</f>
        <v>410</v>
      </c>
      <c r="M5" s="1"/>
      <c r="N5" s="50" t="s">
        <v>30</v>
      </c>
      <c r="O5" s="10"/>
      <c r="P5" s="10"/>
      <c r="Q5" s="10"/>
      <c r="R5" s="10"/>
      <c r="S5" s="10"/>
      <c r="T5" s="10"/>
      <c r="U5" s="10"/>
      <c r="V5" s="10"/>
      <c r="W5" s="10"/>
      <c r="X5" s="10">
        <f>D10</f>
        <v>410</v>
      </c>
      <c r="Y5" s="10"/>
      <c r="Z5" s="10"/>
      <c r="AA5" s="10"/>
      <c r="AB5" s="10"/>
      <c r="AC5" s="10"/>
      <c r="AD5" s="22">
        <f t="shared" ref="AD5:AD18" si="0">SUM(O5:AC5)</f>
        <v>410</v>
      </c>
      <c r="AE5" s="1"/>
    </row>
    <row r="6" spans="1:31" x14ac:dyDescent="0.4">
      <c r="A6" s="1"/>
      <c r="B6" s="9" t="s">
        <v>13</v>
      </c>
      <c r="C6" s="24">
        <v>20</v>
      </c>
      <c r="D6" s="24">
        <v>40</v>
      </c>
      <c r="E6" s="24">
        <v>20</v>
      </c>
      <c r="F6" s="21">
        <v>70</v>
      </c>
      <c r="G6" s="21">
        <v>0</v>
      </c>
      <c r="H6" s="21">
        <v>40</v>
      </c>
      <c r="I6" s="21">
        <v>0</v>
      </c>
      <c r="J6" s="25">
        <v>0</v>
      </c>
      <c r="K6" s="25">
        <v>0</v>
      </c>
      <c r="L6" s="22">
        <f>SUM(C6:K6)</f>
        <v>190</v>
      </c>
      <c r="M6" s="1"/>
      <c r="N6" s="50" t="s">
        <v>31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>
        <f>E10</f>
        <v>190</v>
      </c>
      <c r="Z6" s="10"/>
      <c r="AA6" s="10"/>
      <c r="AB6" s="10"/>
      <c r="AC6" s="10"/>
      <c r="AD6" s="22">
        <f t="shared" si="0"/>
        <v>190</v>
      </c>
      <c r="AE6" s="1"/>
    </row>
    <row r="7" spans="1:31" x14ac:dyDescent="0.4">
      <c r="A7" s="1"/>
      <c r="B7" s="9" t="s">
        <v>15</v>
      </c>
      <c r="C7" s="28">
        <v>50</v>
      </c>
      <c r="D7" s="28">
        <v>90</v>
      </c>
      <c r="E7" s="28">
        <v>70</v>
      </c>
      <c r="F7" s="1"/>
      <c r="G7" s="1"/>
      <c r="H7" s="1"/>
      <c r="I7" s="1"/>
      <c r="J7" s="1"/>
      <c r="K7" s="1"/>
      <c r="L7" s="1"/>
      <c r="M7" s="1"/>
      <c r="N7" s="50" t="s">
        <v>15</v>
      </c>
      <c r="O7" s="28">
        <f t="shared" ref="O7:O8" si="1">C7</f>
        <v>50</v>
      </c>
      <c r="P7" s="28">
        <f t="shared" ref="P7:P8" si="2">D7</f>
        <v>90</v>
      </c>
      <c r="Q7" s="28">
        <f t="shared" ref="Q7:Q8" si="3">E7</f>
        <v>70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22">
        <f t="shared" si="0"/>
        <v>210</v>
      </c>
      <c r="AE7" s="1"/>
    </row>
    <row r="8" spans="1:31" x14ac:dyDescent="0.4">
      <c r="A8" s="1"/>
      <c r="B8" s="9" t="s">
        <v>16</v>
      </c>
      <c r="C8" s="28">
        <v>20</v>
      </c>
      <c r="D8" s="28">
        <v>200</v>
      </c>
      <c r="E8" s="28">
        <v>40</v>
      </c>
      <c r="F8" s="1"/>
      <c r="G8" s="1"/>
      <c r="H8" s="1"/>
      <c r="I8" s="1"/>
      <c r="J8" s="1"/>
      <c r="K8" s="1"/>
      <c r="L8" s="1"/>
      <c r="M8" s="1"/>
      <c r="N8" s="50" t="s">
        <v>16</v>
      </c>
      <c r="O8" s="28">
        <f t="shared" si="1"/>
        <v>20</v>
      </c>
      <c r="P8" s="28">
        <f t="shared" si="2"/>
        <v>200</v>
      </c>
      <c r="Q8" s="28">
        <f t="shared" si="3"/>
        <v>40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22">
        <f t="shared" si="0"/>
        <v>260</v>
      </c>
      <c r="AE8" s="1"/>
    </row>
    <row r="9" spans="1:31" x14ac:dyDescent="0.4">
      <c r="A9" s="1"/>
      <c r="B9" s="15" t="s">
        <v>22</v>
      </c>
      <c r="C9" s="41">
        <v>5</v>
      </c>
      <c r="D9" s="41">
        <v>20</v>
      </c>
      <c r="E9" s="41">
        <v>10</v>
      </c>
      <c r="F9" s="1"/>
      <c r="G9" s="1"/>
      <c r="H9" s="1"/>
      <c r="I9" s="1"/>
      <c r="J9" s="1"/>
      <c r="K9" s="1"/>
      <c r="L9" s="1"/>
      <c r="M9" s="1"/>
      <c r="N9" s="50" t="s">
        <v>22</v>
      </c>
      <c r="O9" s="28">
        <f t="shared" ref="O9" si="4">C9</f>
        <v>5</v>
      </c>
      <c r="P9" s="28">
        <f t="shared" ref="P9" si="5">D9</f>
        <v>20</v>
      </c>
      <c r="Q9" s="28">
        <f t="shared" ref="Q9" si="6">E9</f>
        <v>10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22">
        <f t="shared" si="0"/>
        <v>35</v>
      </c>
      <c r="AE9" s="1"/>
    </row>
    <row r="10" spans="1:31" x14ac:dyDescent="0.4">
      <c r="A10" s="1"/>
      <c r="B10" s="15" t="s">
        <v>28</v>
      </c>
      <c r="C10" s="3">
        <f>SUM(C4:C9)</f>
        <v>135</v>
      </c>
      <c r="D10" s="3">
        <f t="shared" ref="D10:E10" si="7">SUM(D4:D9)</f>
        <v>410</v>
      </c>
      <c r="E10" s="3">
        <f t="shared" si="7"/>
        <v>190</v>
      </c>
      <c r="F10" s="1"/>
      <c r="G10" s="1"/>
      <c r="H10" s="1"/>
      <c r="I10" s="1"/>
      <c r="J10" s="1"/>
      <c r="K10" s="1"/>
      <c r="L10" s="1"/>
      <c r="M10" s="1"/>
      <c r="N10" s="50" t="s">
        <v>23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26">
        <f>C17</f>
        <v>50</v>
      </c>
      <c r="AA10" s="10"/>
      <c r="AB10" s="10"/>
      <c r="AC10" s="10"/>
      <c r="AD10" s="22">
        <f t="shared" si="0"/>
        <v>50</v>
      </c>
      <c r="AE10" s="1"/>
    </row>
    <row r="11" spans="1:3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0" t="s">
        <v>27</v>
      </c>
      <c r="O11" s="10"/>
      <c r="P11" s="10"/>
      <c r="Q11" s="10"/>
      <c r="R11" s="10"/>
      <c r="S11" s="10"/>
      <c r="T11" s="10"/>
      <c r="U11" s="10"/>
      <c r="V11" s="10"/>
      <c r="W11" s="25">
        <f>-K4</f>
        <v>5</v>
      </c>
      <c r="X11" s="25">
        <f>-K5</f>
        <v>0</v>
      </c>
      <c r="Y11" s="25">
        <f>-K6</f>
        <v>0</v>
      </c>
      <c r="Z11" s="10"/>
      <c r="AA11" s="10"/>
      <c r="AB11" s="10"/>
      <c r="AC11" s="10"/>
      <c r="AD11" s="22">
        <f t="shared" si="0"/>
        <v>5</v>
      </c>
      <c r="AE11" s="1"/>
    </row>
    <row r="12" spans="1:31" x14ac:dyDescent="0.4">
      <c r="A12" s="1"/>
      <c r="B12" s="10" t="s">
        <v>19</v>
      </c>
      <c r="C12" s="10">
        <f>SUM(C7:E9)</f>
        <v>505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50" t="s">
        <v>32</v>
      </c>
      <c r="O12" s="24">
        <f>C4</f>
        <v>30</v>
      </c>
      <c r="P12" s="24">
        <f t="shared" ref="P12:Q14" si="8">D4</f>
        <v>10</v>
      </c>
      <c r="Q12" s="24">
        <f t="shared" si="8"/>
        <v>30</v>
      </c>
      <c r="R12" s="10"/>
      <c r="S12" s="10"/>
      <c r="T12" s="10"/>
      <c r="U12" s="10"/>
      <c r="V12" s="10"/>
      <c r="W12" s="10"/>
      <c r="X12" s="10"/>
      <c r="Y12" s="10"/>
      <c r="Z12" s="21">
        <f>F4</f>
        <v>70</v>
      </c>
      <c r="AA12" s="21">
        <f>H4</f>
        <v>10</v>
      </c>
      <c r="AB12" s="21">
        <f>G4</f>
        <v>10</v>
      </c>
      <c r="AC12" s="21">
        <f>I4</f>
        <v>0</v>
      </c>
      <c r="AD12" s="22">
        <f t="shared" si="0"/>
        <v>160</v>
      </c>
      <c r="AE12" s="1"/>
    </row>
    <row r="13" spans="1:31" x14ac:dyDescent="0.4">
      <c r="A13" s="1"/>
      <c r="B13" s="10" t="s">
        <v>20</v>
      </c>
      <c r="C13" s="10">
        <f>SUM(F4:K6)</f>
        <v>505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50" t="s">
        <v>33</v>
      </c>
      <c r="O13" s="24">
        <f t="shared" ref="O13:O14" si="9">C5</f>
        <v>10</v>
      </c>
      <c r="P13" s="24">
        <f t="shared" si="8"/>
        <v>50</v>
      </c>
      <c r="Q13" s="24">
        <f t="shared" si="8"/>
        <v>20</v>
      </c>
      <c r="R13" s="10"/>
      <c r="S13" s="10"/>
      <c r="T13" s="10"/>
      <c r="U13" s="10"/>
      <c r="V13" s="10"/>
      <c r="W13" s="10"/>
      <c r="X13" s="10"/>
      <c r="Y13" s="10"/>
      <c r="Z13" s="21">
        <f t="shared" ref="Z13:Z14" si="10">F5</f>
        <v>220</v>
      </c>
      <c r="AA13" s="21">
        <f t="shared" ref="AA13:AA14" si="11">H5</f>
        <v>20</v>
      </c>
      <c r="AB13" s="21">
        <f t="shared" ref="AB13:AB14" si="12">G5</f>
        <v>50</v>
      </c>
      <c r="AC13" s="21">
        <f t="shared" ref="AC13:AC14" si="13">I5</f>
        <v>80</v>
      </c>
      <c r="AD13" s="22">
        <f t="shared" si="0"/>
        <v>450</v>
      </c>
      <c r="AE13" s="1"/>
    </row>
    <row r="14" spans="1:3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0" t="s">
        <v>34</v>
      </c>
      <c r="O14" s="24">
        <f t="shared" si="9"/>
        <v>20</v>
      </c>
      <c r="P14" s="24">
        <f t="shared" si="8"/>
        <v>40</v>
      </c>
      <c r="Q14" s="24">
        <f t="shared" si="8"/>
        <v>20</v>
      </c>
      <c r="R14" s="10"/>
      <c r="S14" s="10"/>
      <c r="T14" s="10"/>
      <c r="U14" s="10"/>
      <c r="V14" s="10"/>
      <c r="W14" s="10"/>
      <c r="X14" s="10"/>
      <c r="Y14" s="10"/>
      <c r="Z14" s="21">
        <f t="shared" si="10"/>
        <v>70</v>
      </c>
      <c r="AA14" s="21">
        <f t="shared" si="11"/>
        <v>40</v>
      </c>
      <c r="AB14" s="21">
        <f t="shared" si="12"/>
        <v>0</v>
      </c>
      <c r="AC14" s="21">
        <f t="shared" si="13"/>
        <v>0</v>
      </c>
      <c r="AD14" s="22">
        <f t="shared" si="0"/>
        <v>190</v>
      </c>
      <c r="AE14" s="1"/>
    </row>
    <row r="15" spans="1:31" x14ac:dyDescent="0.4">
      <c r="A15" s="1"/>
      <c r="B15" s="10" t="s">
        <v>36</v>
      </c>
      <c r="C15" s="27">
        <f>SUM(I4:I6)+SUM(J4:J6)</f>
        <v>20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50" t="s">
        <v>17</v>
      </c>
      <c r="O15" s="10"/>
      <c r="P15" s="10"/>
      <c r="Q15" s="10"/>
      <c r="R15" s="10">
        <f>SUM(C7:E7)</f>
        <v>210</v>
      </c>
      <c r="S15" s="10">
        <f>SUM(C8:E8)</f>
        <v>260</v>
      </c>
      <c r="T15" s="10"/>
      <c r="U15" s="10"/>
      <c r="V15" s="10"/>
      <c r="W15" s="10"/>
      <c r="X15" s="10"/>
      <c r="Y15" s="10"/>
      <c r="Z15" s="10"/>
      <c r="AA15" s="28">
        <v>20</v>
      </c>
      <c r="AB15" s="10"/>
      <c r="AC15" s="10"/>
      <c r="AD15" s="22">
        <f t="shared" si="0"/>
        <v>490</v>
      </c>
      <c r="AE15" s="1"/>
    </row>
    <row r="16" spans="1:3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0" t="s">
        <v>24</v>
      </c>
      <c r="O16" s="10"/>
      <c r="P16" s="10"/>
      <c r="Q16" s="10"/>
      <c r="R16" s="10"/>
      <c r="S16" s="10"/>
      <c r="T16" s="10">
        <f>SUM(C9:E9)</f>
        <v>35</v>
      </c>
      <c r="U16" s="26">
        <f>C17</f>
        <v>50</v>
      </c>
      <c r="V16" s="10">
        <f>-SUM(K4:K6)</f>
        <v>5</v>
      </c>
      <c r="W16" s="10"/>
      <c r="X16" s="10"/>
      <c r="Y16" s="10"/>
      <c r="Z16" s="10"/>
      <c r="AA16" s="10"/>
      <c r="AB16" s="10"/>
      <c r="AC16" s="10"/>
      <c r="AD16" s="22">
        <f t="shared" si="0"/>
        <v>90</v>
      </c>
      <c r="AE16" s="1"/>
    </row>
    <row r="17" spans="1:31" x14ac:dyDescent="0.4">
      <c r="A17" s="1"/>
      <c r="B17" s="10" t="s">
        <v>23</v>
      </c>
      <c r="C17" s="26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50" t="s">
        <v>21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>
        <f>SUM(G4:G6)</f>
        <v>60</v>
      </c>
      <c r="AA17" s="10"/>
      <c r="AB17" s="10"/>
      <c r="AC17" s="10"/>
      <c r="AD17" s="22">
        <f t="shared" si="0"/>
        <v>60</v>
      </c>
      <c r="AE17" s="1"/>
    </row>
    <row r="18" spans="1:3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0" t="s">
        <v>35</v>
      </c>
      <c r="O18" s="10"/>
      <c r="P18" s="10"/>
      <c r="Q18" s="10"/>
      <c r="R18" s="10"/>
      <c r="S18" s="10"/>
      <c r="T18" s="10"/>
      <c r="U18" s="10"/>
      <c r="V18" s="10"/>
      <c r="W18" s="25">
        <f>-J4</f>
        <v>20</v>
      </c>
      <c r="X18" s="25">
        <f>-J5</f>
        <v>40</v>
      </c>
      <c r="Y18" s="25">
        <f>-J6</f>
        <v>0</v>
      </c>
      <c r="Z18" s="27">
        <f>C15</f>
        <v>20</v>
      </c>
      <c r="AA18" s="10"/>
      <c r="AB18" s="10"/>
      <c r="AC18" s="10"/>
      <c r="AD18" s="22">
        <f t="shared" si="0"/>
        <v>80</v>
      </c>
      <c r="AE18" s="1"/>
    </row>
    <row r="19" spans="1:3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1" t="s">
        <v>18</v>
      </c>
      <c r="O19" s="10">
        <f>SUM(O4:O18)</f>
        <v>135</v>
      </c>
      <c r="P19" s="10">
        <f t="shared" ref="P19:AC19" si="14">SUM(P4:P18)</f>
        <v>410</v>
      </c>
      <c r="Q19" s="10">
        <f t="shared" si="14"/>
        <v>190</v>
      </c>
      <c r="R19" s="10">
        <f t="shared" si="14"/>
        <v>210</v>
      </c>
      <c r="S19" s="10">
        <f t="shared" si="14"/>
        <v>260</v>
      </c>
      <c r="T19" s="10">
        <f t="shared" si="14"/>
        <v>35</v>
      </c>
      <c r="U19" s="10">
        <f t="shared" si="14"/>
        <v>50</v>
      </c>
      <c r="V19" s="10">
        <f t="shared" si="14"/>
        <v>5</v>
      </c>
      <c r="W19" s="10">
        <f t="shared" si="14"/>
        <v>160</v>
      </c>
      <c r="X19" s="10">
        <f t="shared" si="14"/>
        <v>450</v>
      </c>
      <c r="Y19" s="10">
        <f t="shared" si="14"/>
        <v>190</v>
      </c>
      <c r="Z19" s="10">
        <f t="shared" si="14"/>
        <v>490</v>
      </c>
      <c r="AA19" s="10">
        <f t="shared" si="14"/>
        <v>90</v>
      </c>
      <c r="AB19" s="10">
        <f t="shared" si="14"/>
        <v>60</v>
      </c>
      <c r="AC19" s="10">
        <f t="shared" si="14"/>
        <v>80</v>
      </c>
      <c r="AD19" s="22"/>
      <c r="AE19" s="1"/>
    </row>
    <row r="20" spans="1:3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4">
      <c r="N21" s="51" t="s">
        <v>14</v>
      </c>
      <c r="O21" s="10">
        <f t="array" ref="O21:AC21">TRANSPOSE(AD4:AD19)</f>
        <v>135</v>
      </c>
      <c r="P21" s="10">
        <v>410</v>
      </c>
      <c r="Q21" s="10">
        <v>190</v>
      </c>
      <c r="R21" s="10">
        <v>210</v>
      </c>
      <c r="S21" s="10">
        <v>260</v>
      </c>
      <c r="T21" s="10">
        <v>35</v>
      </c>
      <c r="U21" s="10">
        <v>50</v>
      </c>
      <c r="V21" s="10">
        <v>5</v>
      </c>
      <c r="W21" s="10">
        <v>160</v>
      </c>
      <c r="X21" s="10">
        <v>450</v>
      </c>
      <c r="Y21" s="10">
        <v>190</v>
      </c>
      <c r="Z21" s="10">
        <v>490</v>
      </c>
      <c r="AA21" s="10">
        <v>90</v>
      </c>
      <c r="AB21" s="10">
        <v>60</v>
      </c>
      <c r="AC21" s="10">
        <v>80</v>
      </c>
      <c r="AD21" s="1"/>
    </row>
    <row r="22" spans="1:31" x14ac:dyDescent="0.4">
      <c r="N22" s="51" t="s">
        <v>0</v>
      </c>
      <c r="O22" s="8" t="str">
        <f t="shared" ref="O22:AC22" si="15">IF(ROUND(O19-O21,2)=0,"OK","xxx")</f>
        <v>OK</v>
      </c>
      <c r="P22" s="8" t="str">
        <f t="shared" si="15"/>
        <v>OK</v>
      </c>
      <c r="Q22" s="8" t="str">
        <f t="shared" si="15"/>
        <v>OK</v>
      </c>
      <c r="R22" s="8" t="str">
        <f t="shared" si="15"/>
        <v>OK</v>
      </c>
      <c r="S22" s="8" t="str">
        <f t="shared" si="15"/>
        <v>OK</v>
      </c>
      <c r="T22" s="8" t="str">
        <f t="shared" si="15"/>
        <v>OK</v>
      </c>
      <c r="U22" s="8" t="str">
        <f t="shared" si="15"/>
        <v>OK</v>
      </c>
      <c r="V22" s="8" t="str">
        <f t="shared" si="15"/>
        <v>OK</v>
      </c>
      <c r="W22" s="8" t="str">
        <f t="shared" ref="W22:Y22" si="16">IF(ROUND(W19-W21,2)=0,"OK","xxx")</f>
        <v>OK</v>
      </c>
      <c r="X22" s="8" t="str">
        <f t="shared" si="16"/>
        <v>OK</v>
      </c>
      <c r="Y22" s="8" t="str">
        <f t="shared" si="16"/>
        <v>OK</v>
      </c>
      <c r="Z22" s="8" t="str">
        <f t="shared" si="15"/>
        <v>OK</v>
      </c>
      <c r="AA22" s="8" t="str">
        <f t="shared" si="15"/>
        <v>OK</v>
      </c>
      <c r="AB22" s="8" t="str">
        <f t="shared" si="15"/>
        <v>OK</v>
      </c>
      <c r="AC22" s="8" t="str">
        <f t="shared" si="15"/>
        <v>OK</v>
      </c>
      <c r="AD22" s="1"/>
    </row>
    <row r="23" spans="1:31" x14ac:dyDescent="0.4"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5754-CA21-4261-81BE-46955278ACD5}">
  <dimension ref="A1:AH26"/>
  <sheetViews>
    <sheetView zoomScaleNormal="100" workbookViewId="0"/>
  </sheetViews>
  <sheetFormatPr defaultColWidth="9" defaultRowHeight="18.75" x14ac:dyDescent="0.4"/>
  <cols>
    <col min="1" max="1" width="4.625" style="2" customWidth="1"/>
    <col min="2" max="2" width="10.625" style="2" customWidth="1"/>
    <col min="3" max="5" width="7.5" style="2" customWidth="1"/>
    <col min="6" max="12" width="6.125" style="2" customWidth="1"/>
    <col min="13" max="13" width="5.625" style="2" customWidth="1"/>
    <col min="14" max="14" width="13.875" style="2" customWidth="1"/>
    <col min="15" max="33" width="7.125" style="2" customWidth="1"/>
    <col min="34" max="16384" width="9" style="2"/>
  </cols>
  <sheetData>
    <row r="1" spans="1:34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">
      <c r="A2" s="1"/>
      <c r="B2" s="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43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s="46" customFormat="1" ht="37.5" x14ac:dyDescent="0.4">
      <c r="A3" s="45"/>
      <c r="B3" s="42"/>
      <c r="C3" s="17" t="s">
        <v>11</v>
      </c>
      <c r="D3" s="17" t="s">
        <v>12</v>
      </c>
      <c r="E3" s="17" t="s">
        <v>13</v>
      </c>
      <c r="F3" s="17" t="s">
        <v>3</v>
      </c>
      <c r="G3" s="17" t="s">
        <v>21</v>
      </c>
      <c r="H3" s="17" t="s">
        <v>10</v>
      </c>
      <c r="I3" s="17" t="s">
        <v>25</v>
      </c>
      <c r="J3" s="17" t="s">
        <v>26</v>
      </c>
      <c r="K3" s="17" t="s">
        <v>27</v>
      </c>
      <c r="L3" s="18" t="s">
        <v>28</v>
      </c>
      <c r="M3" s="43"/>
      <c r="N3" s="53"/>
      <c r="O3" s="48" t="s">
        <v>29</v>
      </c>
      <c r="P3" s="48" t="s">
        <v>30</v>
      </c>
      <c r="Q3" s="48" t="s">
        <v>31</v>
      </c>
      <c r="R3" s="48" t="s">
        <v>15</v>
      </c>
      <c r="S3" s="48" t="s">
        <v>16</v>
      </c>
      <c r="T3" s="48" t="s">
        <v>22</v>
      </c>
      <c r="U3" s="48" t="s">
        <v>23</v>
      </c>
      <c r="V3" s="48" t="s">
        <v>27</v>
      </c>
      <c r="W3" s="48" t="s">
        <v>37</v>
      </c>
      <c r="X3" s="48" t="s">
        <v>38</v>
      </c>
      <c r="Y3" s="48" t="s">
        <v>39</v>
      </c>
      <c r="Z3" s="48" t="s">
        <v>40</v>
      </c>
      <c r="AA3" s="48" t="s">
        <v>41</v>
      </c>
      <c r="AB3" s="48" t="s">
        <v>42</v>
      </c>
      <c r="AC3" s="48" t="s">
        <v>17</v>
      </c>
      <c r="AD3" s="48" t="s">
        <v>24</v>
      </c>
      <c r="AE3" s="48" t="s">
        <v>21</v>
      </c>
      <c r="AF3" s="48" t="s">
        <v>35</v>
      </c>
      <c r="AG3" s="18" t="s">
        <v>14</v>
      </c>
      <c r="AH3" s="45"/>
    </row>
    <row r="4" spans="1:34" x14ac:dyDescent="0.4">
      <c r="A4" s="1"/>
      <c r="B4" s="9" t="s">
        <v>11</v>
      </c>
      <c r="C4" s="24">
        <v>30</v>
      </c>
      <c r="D4" s="24">
        <v>10</v>
      </c>
      <c r="E4" s="24">
        <v>30</v>
      </c>
      <c r="F4" s="21">
        <v>70</v>
      </c>
      <c r="G4" s="21">
        <v>10</v>
      </c>
      <c r="H4" s="21">
        <v>10</v>
      </c>
      <c r="I4" s="47">
        <v>0</v>
      </c>
      <c r="J4" s="25">
        <v>-20</v>
      </c>
      <c r="K4" s="25">
        <v>-5</v>
      </c>
      <c r="L4" s="22">
        <f>SUM(C4:K4)</f>
        <v>135</v>
      </c>
      <c r="M4" s="1"/>
      <c r="N4" s="50" t="s">
        <v>29</v>
      </c>
      <c r="O4" s="10"/>
      <c r="P4" s="10"/>
      <c r="Q4" s="10"/>
      <c r="R4" s="10"/>
      <c r="S4" s="10"/>
      <c r="T4" s="10"/>
      <c r="U4" s="10"/>
      <c r="V4" s="10"/>
      <c r="W4" s="10">
        <f>C10</f>
        <v>135</v>
      </c>
      <c r="X4" s="10"/>
      <c r="Y4" s="10"/>
      <c r="Z4" s="10"/>
      <c r="AA4" s="10"/>
      <c r="AB4" s="10"/>
      <c r="AC4" s="10"/>
      <c r="AD4" s="10"/>
      <c r="AE4" s="10"/>
      <c r="AF4" s="10"/>
      <c r="AG4" s="22">
        <f>SUM(O4:AF4)</f>
        <v>135</v>
      </c>
      <c r="AH4" s="1"/>
    </row>
    <row r="5" spans="1:34" x14ac:dyDescent="0.4">
      <c r="A5" s="1"/>
      <c r="B5" s="9" t="s">
        <v>12</v>
      </c>
      <c r="C5" s="24">
        <v>10</v>
      </c>
      <c r="D5" s="24">
        <v>50</v>
      </c>
      <c r="E5" s="24">
        <v>20</v>
      </c>
      <c r="F5" s="21">
        <v>220</v>
      </c>
      <c r="G5" s="21">
        <v>50</v>
      </c>
      <c r="H5" s="21">
        <v>20</v>
      </c>
      <c r="I5" s="47">
        <v>80</v>
      </c>
      <c r="J5" s="25">
        <v>-40</v>
      </c>
      <c r="K5" s="25">
        <v>0</v>
      </c>
      <c r="L5" s="22">
        <f>SUM(C5:K5)</f>
        <v>410</v>
      </c>
      <c r="M5" s="1"/>
      <c r="N5" s="50" t="s">
        <v>30</v>
      </c>
      <c r="O5" s="10"/>
      <c r="P5" s="10"/>
      <c r="Q5" s="10"/>
      <c r="R5" s="10"/>
      <c r="S5" s="10"/>
      <c r="T5" s="10"/>
      <c r="U5" s="10"/>
      <c r="V5" s="10"/>
      <c r="W5" s="10"/>
      <c r="X5" s="10">
        <f>D10</f>
        <v>410</v>
      </c>
      <c r="Y5" s="10"/>
      <c r="Z5" s="10"/>
      <c r="AA5" s="10"/>
      <c r="AB5" s="10"/>
      <c r="AC5" s="10"/>
      <c r="AD5" s="10"/>
      <c r="AE5" s="10"/>
      <c r="AF5" s="10"/>
      <c r="AG5" s="22">
        <f t="shared" ref="AG5:AG21" si="0">SUM(O5:AF5)</f>
        <v>410</v>
      </c>
      <c r="AH5" s="1"/>
    </row>
    <row r="6" spans="1:34" x14ac:dyDescent="0.4">
      <c r="A6" s="1"/>
      <c r="B6" s="9" t="s">
        <v>13</v>
      </c>
      <c r="C6" s="24">
        <v>20</v>
      </c>
      <c r="D6" s="24">
        <v>40</v>
      </c>
      <c r="E6" s="24">
        <v>20</v>
      </c>
      <c r="F6" s="21">
        <v>70</v>
      </c>
      <c r="G6" s="21">
        <v>0</v>
      </c>
      <c r="H6" s="21">
        <v>40</v>
      </c>
      <c r="I6" s="47">
        <v>0</v>
      </c>
      <c r="J6" s="25">
        <v>0</v>
      </c>
      <c r="K6" s="25">
        <v>0</v>
      </c>
      <c r="L6" s="22">
        <f>SUM(C6:K6)</f>
        <v>190</v>
      </c>
      <c r="M6" s="1"/>
      <c r="N6" s="50" t="s">
        <v>31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>
        <f>E10</f>
        <v>190</v>
      </c>
      <c r="Z6" s="10"/>
      <c r="AA6" s="10"/>
      <c r="AB6" s="10"/>
      <c r="AC6" s="10"/>
      <c r="AD6" s="10"/>
      <c r="AE6" s="10"/>
      <c r="AF6" s="10"/>
      <c r="AG6" s="22">
        <f t="shared" si="0"/>
        <v>190</v>
      </c>
      <c r="AH6" s="1"/>
    </row>
    <row r="7" spans="1:34" x14ac:dyDescent="0.4">
      <c r="A7" s="1"/>
      <c r="B7" s="9" t="s">
        <v>15</v>
      </c>
      <c r="C7" s="28">
        <v>50</v>
      </c>
      <c r="D7" s="28">
        <v>90</v>
      </c>
      <c r="E7" s="28">
        <v>70</v>
      </c>
      <c r="F7" s="1"/>
      <c r="G7" s="1"/>
      <c r="H7" s="1"/>
      <c r="I7" s="1"/>
      <c r="J7" s="1"/>
      <c r="K7" s="1"/>
      <c r="L7" s="1"/>
      <c r="M7" s="1"/>
      <c r="N7" s="50" t="s">
        <v>15</v>
      </c>
      <c r="O7" s="28">
        <f t="shared" ref="O7:Q9" si="1">C7</f>
        <v>50</v>
      </c>
      <c r="P7" s="28">
        <f t="shared" si="1"/>
        <v>90</v>
      </c>
      <c r="Q7" s="28">
        <f t="shared" si="1"/>
        <v>70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22">
        <f t="shared" si="0"/>
        <v>210</v>
      </c>
      <c r="AH7" s="1"/>
    </row>
    <row r="8" spans="1:34" x14ac:dyDescent="0.4">
      <c r="A8" s="1"/>
      <c r="B8" s="9" t="s">
        <v>16</v>
      </c>
      <c r="C8" s="28">
        <v>20</v>
      </c>
      <c r="D8" s="28">
        <v>200</v>
      </c>
      <c r="E8" s="28">
        <v>40</v>
      </c>
      <c r="F8" s="1"/>
      <c r="G8" s="1"/>
      <c r="H8" s="1"/>
      <c r="I8" s="1"/>
      <c r="J8" s="1"/>
      <c r="K8" s="1"/>
      <c r="L8" s="1"/>
      <c r="M8" s="1"/>
      <c r="N8" s="50" t="s">
        <v>16</v>
      </c>
      <c r="O8" s="28">
        <f t="shared" si="1"/>
        <v>20</v>
      </c>
      <c r="P8" s="28">
        <f t="shared" si="1"/>
        <v>200</v>
      </c>
      <c r="Q8" s="28">
        <f t="shared" si="1"/>
        <v>40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2">
        <f t="shared" si="0"/>
        <v>260</v>
      </c>
      <c r="AH8" s="1"/>
    </row>
    <row r="9" spans="1:34" x14ac:dyDescent="0.4">
      <c r="A9" s="1"/>
      <c r="B9" s="15" t="s">
        <v>22</v>
      </c>
      <c r="C9" s="41">
        <v>5</v>
      </c>
      <c r="D9" s="41">
        <v>20</v>
      </c>
      <c r="E9" s="41">
        <v>10</v>
      </c>
      <c r="F9" s="1"/>
      <c r="G9" s="1"/>
      <c r="H9" s="1"/>
      <c r="I9" s="1"/>
      <c r="J9" s="1"/>
      <c r="K9" s="1"/>
      <c r="L9" s="1"/>
      <c r="M9" s="1"/>
      <c r="N9" s="50" t="s">
        <v>22</v>
      </c>
      <c r="O9" s="28">
        <f t="shared" si="1"/>
        <v>5</v>
      </c>
      <c r="P9" s="28">
        <f t="shared" si="1"/>
        <v>20</v>
      </c>
      <c r="Q9" s="28">
        <f t="shared" si="1"/>
        <v>10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22">
        <f t="shared" si="0"/>
        <v>35</v>
      </c>
      <c r="AH9" s="1"/>
    </row>
    <row r="10" spans="1:34" x14ac:dyDescent="0.4">
      <c r="A10" s="1"/>
      <c r="B10" s="15" t="s">
        <v>28</v>
      </c>
      <c r="C10" s="3">
        <f>SUM(C4:C9)</f>
        <v>135</v>
      </c>
      <c r="D10" s="3">
        <f t="shared" ref="D10:E10" si="2">SUM(D4:D9)</f>
        <v>410</v>
      </c>
      <c r="E10" s="3">
        <f t="shared" si="2"/>
        <v>190</v>
      </c>
      <c r="F10" s="1"/>
      <c r="G10" s="1"/>
      <c r="H10" s="1"/>
      <c r="I10" s="1"/>
      <c r="J10" s="1"/>
      <c r="K10" s="1"/>
      <c r="L10" s="1"/>
      <c r="M10" s="1"/>
      <c r="N10" s="50" t="s">
        <v>23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26">
        <f>C17</f>
        <v>50</v>
      </c>
      <c r="AD10" s="10"/>
      <c r="AE10" s="10"/>
      <c r="AF10" s="10"/>
      <c r="AG10" s="22">
        <f t="shared" si="0"/>
        <v>50</v>
      </c>
      <c r="AH10" s="1"/>
    </row>
    <row r="11" spans="1:34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0" t="s">
        <v>27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25">
        <f>-K4</f>
        <v>5</v>
      </c>
      <c r="AA11" s="25">
        <f>-K5</f>
        <v>0</v>
      </c>
      <c r="AB11" s="25">
        <f>-K6</f>
        <v>0</v>
      </c>
      <c r="AC11" s="10"/>
      <c r="AD11" s="10"/>
      <c r="AE11" s="10"/>
      <c r="AF11" s="10"/>
      <c r="AG11" s="22">
        <f t="shared" si="0"/>
        <v>5</v>
      </c>
      <c r="AH11" s="1"/>
    </row>
    <row r="12" spans="1:34" x14ac:dyDescent="0.4">
      <c r="A12" s="1"/>
      <c r="B12" s="10" t="s">
        <v>19</v>
      </c>
      <c r="C12" s="10">
        <f>SUM(C7:E9)</f>
        <v>505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50" t="s">
        <v>37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f>L4-I4</f>
        <v>135</v>
      </c>
      <c r="AA12" s="10"/>
      <c r="AB12" s="10"/>
      <c r="AC12" s="10"/>
      <c r="AD12" s="10"/>
      <c r="AE12" s="10"/>
      <c r="AF12" s="47">
        <f>I4</f>
        <v>0</v>
      </c>
      <c r="AG12" s="22">
        <f t="shared" ref="AG12:AG14" si="3">SUM(O12:AF12)</f>
        <v>135</v>
      </c>
      <c r="AH12" s="1"/>
    </row>
    <row r="13" spans="1:34" x14ac:dyDescent="0.4">
      <c r="A13" s="1"/>
      <c r="B13" s="10" t="s">
        <v>20</v>
      </c>
      <c r="C13" s="10">
        <f>SUM(F4:K6)</f>
        <v>505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50" t="s">
        <v>38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>
        <f>L5-I5</f>
        <v>330</v>
      </c>
      <c r="AB13" s="10"/>
      <c r="AC13" s="10"/>
      <c r="AD13" s="10"/>
      <c r="AE13" s="10"/>
      <c r="AF13" s="47">
        <f t="shared" ref="AF13:AF14" si="4">I5</f>
        <v>80</v>
      </c>
      <c r="AG13" s="22">
        <f t="shared" si="3"/>
        <v>410</v>
      </c>
      <c r="AH13" s="1"/>
    </row>
    <row r="14" spans="1:34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0" t="s">
        <v>39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f>L6-I6</f>
        <v>190</v>
      </c>
      <c r="AC14" s="10"/>
      <c r="AD14" s="10"/>
      <c r="AE14" s="10"/>
      <c r="AF14" s="47">
        <f t="shared" si="4"/>
        <v>0</v>
      </c>
      <c r="AG14" s="22">
        <f t="shared" si="3"/>
        <v>190</v>
      </c>
      <c r="AH14" s="1"/>
    </row>
    <row r="15" spans="1:34" x14ac:dyDescent="0.4">
      <c r="A15" s="1"/>
      <c r="B15" s="10" t="s">
        <v>36</v>
      </c>
      <c r="C15" s="27">
        <f>SUM(I4:I6)+SUM(J4:J6)</f>
        <v>20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50" t="s">
        <v>40</v>
      </c>
      <c r="O15" s="24">
        <f t="shared" ref="O15:Q17" si="5">C4</f>
        <v>30</v>
      </c>
      <c r="P15" s="24">
        <f t="shared" si="5"/>
        <v>10</v>
      </c>
      <c r="Q15" s="24">
        <f t="shared" si="5"/>
        <v>30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21">
        <f>F4</f>
        <v>70</v>
      </c>
      <c r="AD15" s="21">
        <f>H4</f>
        <v>10</v>
      </c>
      <c r="AE15" s="21">
        <f>G4</f>
        <v>10</v>
      </c>
      <c r="AF15" s="10"/>
      <c r="AG15" s="22">
        <f t="shared" si="0"/>
        <v>160</v>
      </c>
      <c r="AH15" s="1"/>
    </row>
    <row r="16" spans="1:34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0" t="s">
        <v>41</v>
      </c>
      <c r="O16" s="24">
        <f t="shared" si="5"/>
        <v>10</v>
      </c>
      <c r="P16" s="24">
        <f t="shared" si="5"/>
        <v>50</v>
      </c>
      <c r="Q16" s="24">
        <f t="shared" si="5"/>
        <v>20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21">
        <f>F5</f>
        <v>220</v>
      </c>
      <c r="AD16" s="21">
        <f>H5</f>
        <v>20</v>
      </c>
      <c r="AE16" s="21">
        <f>G5</f>
        <v>50</v>
      </c>
      <c r="AF16" s="10"/>
      <c r="AG16" s="22">
        <f t="shared" si="0"/>
        <v>370</v>
      </c>
      <c r="AH16" s="1"/>
    </row>
    <row r="17" spans="1:34" x14ac:dyDescent="0.4">
      <c r="A17" s="1"/>
      <c r="B17" s="10" t="s">
        <v>23</v>
      </c>
      <c r="C17" s="26">
        <v>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50" t="s">
        <v>42</v>
      </c>
      <c r="O17" s="24">
        <f t="shared" si="5"/>
        <v>20</v>
      </c>
      <c r="P17" s="24">
        <f t="shared" si="5"/>
        <v>40</v>
      </c>
      <c r="Q17" s="24">
        <f t="shared" si="5"/>
        <v>20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21">
        <f>F6</f>
        <v>70</v>
      </c>
      <c r="AD17" s="21">
        <f>H6</f>
        <v>40</v>
      </c>
      <c r="AE17" s="21">
        <f>G6</f>
        <v>0</v>
      </c>
      <c r="AF17" s="10"/>
      <c r="AG17" s="22">
        <f t="shared" si="0"/>
        <v>190</v>
      </c>
      <c r="AH17" s="1"/>
    </row>
    <row r="18" spans="1:34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0" t="s">
        <v>17</v>
      </c>
      <c r="O18" s="10"/>
      <c r="P18" s="10"/>
      <c r="Q18" s="10"/>
      <c r="R18" s="10">
        <f>SUM(C7:E7)</f>
        <v>210</v>
      </c>
      <c r="S18" s="10">
        <f>SUM(C8:E8)</f>
        <v>260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28">
        <v>20</v>
      </c>
      <c r="AE18" s="10"/>
      <c r="AF18" s="10"/>
      <c r="AG18" s="22">
        <f t="shared" si="0"/>
        <v>490</v>
      </c>
      <c r="AH18" s="1"/>
    </row>
    <row r="19" spans="1:34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0" t="s">
        <v>24</v>
      </c>
      <c r="O19" s="10"/>
      <c r="P19" s="10"/>
      <c r="Q19" s="10"/>
      <c r="R19" s="10"/>
      <c r="S19" s="10"/>
      <c r="T19" s="10">
        <f>SUM(C9:E9)</f>
        <v>35</v>
      </c>
      <c r="U19" s="26">
        <f>C17</f>
        <v>50</v>
      </c>
      <c r="V19" s="10">
        <f>-SUM(K4:K6)</f>
        <v>5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22">
        <f t="shared" si="0"/>
        <v>90</v>
      </c>
      <c r="AH19" s="1"/>
    </row>
    <row r="20" spans="1:34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0" t="s">
        <v>21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>
        <f>SUM(G4:G6)</f>
        <v>60</v>
      </c>
      <c r="AD20" s="10"/>
      <c r="AE20" s="10"/>
      <c r="AF20" s="10"/>
      <c r="AG20" s="22">
        <f t="shared" si="0"/>
        <v>60</v>
      </c>
      <c r="AH20" s="1"/>
    </row>
    <row r="21" spans="1:34" x14ac:dyDescent="0.4">
      <c r="N21" s="50" t="s">
        <v>35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5">
        <f>-J4</f>
        <v>20</v>
      </c>
      <c r="AA21" s="25">
        <f>-J5</f>
        <v>40</v>
      </c>
      <c r="AB21" s="25">
        <f>-J6</f>
        <v>0</v>
      </c>
      <c r="AC21" s="27">
        <f>C15</f>
        <v>20</v>
      </c>
      <c r="AD21" s="10"/>
      <c r="AE21" s="10"/>
      <c r="AF21" s="10"/>
      <c r="AG21" s="22">
        <f t="shared" si="0"/>
        <v>80</v>
      </c>
    </row>
    <row r="22" spans="1:34" x14ac:dyDescent="0.4">
      <c r="N22" s="51" t="s">
        <v>18</v>
      </c>
      <c r="O22" s="10">
        <f t="shared" ref="O22:V22" si="6">SUM(O4:O21)</f>
        <v>135</v>
      </c>
      <c r="P22" s="10">
        <f t="shared" si="6"/>
        <v>410</v>
      </c>
      <c r="Q22" s="10">
        <f t="shared" si="6"/>
        <v>190</v>
      </c>
      <c r="R22" s="10">
        <f t="shared" si="6"/>
        <v>210</v>
      </c>
      <c r="S22" s="10">
        <f t="shared" si="6"/>
        <v>260</v>
      </c>
      <c r="T22" s="10">
        <f t="shared" si="6"/>
        <v>35</v>
      </c>
      <c r="U22" s="10">
        <f t="shared" si="6"/>
        <v>50</v>
      </c>
      <c r="V22" s="10">
        <f t="shared" si="6"/>
        <v>5</v>
      </c>
      <c r="W22" s="10">
        <f t="shared" ref="W22:Y22" si="7">SUM(W4:W21)</f>
        <v>135</v>
      </c>
      <c r="X22" s="10">
        <f t="shared" si="7"/>
        <v>410</v>
      </c>
      <c r="Y22" s="10">
        <f t="shared" si="7"/>
        <v>190</v>
      </c>
      <c r="Z22" s="10">
        <f t="shared" ref="Z22:AF22" si="8">SUM(Z4:Z21)</f>
        <v>160</v>
      </c>
      <c r="AA22" s="10">
        <f t="shared" si="8"/>
        <v>370</v>
      </c>
      <c r="AB22" s="10">
        <f t="shared" si="8"/>
        <v>190</v>
      </c>
      <c r="AC22" s="10">
        <f t="shared" si="8"/>
        <v>490</v>
      </c>
      <c r="AD22" s="10">
        <f t="shared" si="8"/>
        <v>90</v>
      </c>
      <c r="AE22" s="10">
        <f t="shared" si="8"/>
        <v>60</v>
      </c>
      <c r="AF22" s="10">
        <f t="shared" si="8"/>
        <v>80</v>
      </c>
      <c r="AG22" s="22"/>
    </row>
    <row r="23" spans="1:34" x14ac:dyDescent="0.4">
      <c r="N23" s="5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4" x14ac:dyDescent="0.4">
      <c r="N24" s="51" t="s">
        <v>14</v>
      </c>
      <c r="O24" s="10">
        <f t="array" ref="O24:AF24">TRANSPOSE(AG4:AG21)</f>
        <v>135</v>
      </c>
      <c r="P24" s="10">
        <v>410</v>
      </c>
      <c r="Q24" s="10">
        <v>190</v>
      </c>
      <c r="R24" s="10">
        <v>210</v>
      </c>
      <c r="S24" s="10">
        <v>260</v>
      </c>
      <c r="T24" s="10">
        <v>35</v>
      </c>
      <c r="U24" s="10">
        <v>50</v>
      </c>
      <c r="V24" s="10">
        <v>5</v>
      </c>
      <c r="W24" s="10">
        <v>135</v>
      </c>
      <c r="X24" s="10">
        <v>410</v>
      </c>
      <c r="Y24" s="10">
        <v>190</v>
      </c>
      <c r="Z24" s="10">
        <v>160</v>
      </c>
      <c r="AA24" s="10">
        <v>370</v>
      </c>
      <c r="AB24" s="10">
        <v>190</v>
      </c>
      <c r="AC24" s="10">
        <v>490</v>
      </c>
      <c r="AD24" s="10">
        <v>90</v>
      </c>
      <c r="AE24" s="10">
        <v>60</v>
      </c>
      <c r="AF24" s="10">
        <v>80</v>
      </c>
      <c r="AG24" s="1"/>
    </row>
    <row r="25" spans="1:34" x14ac:dyDescent="0.4">
      <c r="N25" s="51" t="s">
        <v>0</v>
      </c>
      <c r="O25" s="8" t="str">
        <f t="shared" ref="O25:AF25" si="9">IF(ROUND(O22-O24,2)=0,"OK","xxx")</f>
        <v>OK</v>
      </c>
      <c r="P25" s="8" t="str">
        <f t="shared" si="9"/>
        <v>OK</v>
      </c>
      <c r="Q25" s="8" t="str">
        <f t="shared" si="9"/>
        <v>OK</v>
      </c>
      <c r="R25" s="8" t="str">
        <f t="shared" si="9"/>
        <v>OK</v>
      </c>
      <c r="S25" s="8" t="str">
        <f t="shared" si="9"/>
        <v>OK</v>
      </c>
      <c r="T25" s="8" t="str">
        <f t="shared" si="9"/>
        <v>OK</v>
      </c>
      <c r="U25" s="8" t="str">
        <f t="shared" si="9"/>
        <v>OK</v>
      </c>
      <c r="V25" s="8" t="str">
        <f t="shared" si="9"/>
        <v>OK</v>
      </c>
      <c r="W25" s="8" t="str">
        <f t="shared" ref="W25:Y25" si="10">IF(ROUND(W22-W24,2)=0,"OK","xxx")</f>
        <v>OK</v>
      </c>
      <c r="X25" s="8" t="str">
        <f t="shared" si="10"/>
        <v>OK</v>
      </c>
      <c r="Y25" s="8" t="str">
        <f t="shared" si="10"/>
        <v>OK</v>
      </c>
      <c r="Z25" s="8" t="str">
        <f t="shared" si="9"/>
        <v>OK</v>
      </c>
      <c r="AA25" s="8" t="str">
        <f t="shared" si="9"/>
        <v>OK</v>
      </c>
      <c r="AB25" s="8" t="str">
        <f t="shared" si="9"/>
        <v>OK</v>
      </c>
      <c r="AC25" s="8" t="str">
        <f t="shared" si="9"/>
        <v>OK</v>
      </c>
      <c r="AD25" s="8" t="str">
        <f t="shared" si="9"/>
        <v>OK</v>
      </c>
      <c r="AE25" s="8" t="str">
        <f t="shared" si="9"/>
        <v>OK</v>
      </c>
      <c r="AF25" s="8" t="str">
        <f t="shared" si="9"/>
        <v>OK</v>
      </c>
      <c r="AG25" s="1"/>
    </row>
    <row r="26" spans="1:34" x14ac:dyDescent="0.4"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SAM_1</vt:lpstr>
      <vt:lpstr>SAM_2</vt:lpstr>
      <vt:lpstr>SAM_3</vt:lpstr>
      <vt:lpstr>SAM_4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2023-05-02T13:38:21Z</dcterms:modified>
</cp:coreProperties>
</file>